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8.xml"/>
  <Override ContentType="application/vnd.ms-excel.documenttasks+xml" PartName="/xl/documenttasks/documenttask2.xml"/>
  <Override ContentType="application/vnd.ms-excel.documenttasks+xml" PartName="/xl/documenttasks/documenttask7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7.xml"/>
  <Override ContentType="application/vnd.ms-excel.threadedcomments+xml" PartName="/xl/threadedComments/threadedComment5.xml"/>
  <Override ContentType="application/vnd.ms-excel.threadedcomments+xml" PartName="/xl/threadedComments/threadedComment6.xml"/>
  <Override ContentType="application/vnd.ms-excel.threadedcomments+xml" PartName="/xl/threadedComments/threadedComment3.xml"/>
  <Override ContentType="application/vnd.ms-excel.threadedcomments+xml" PartName="/xl/threadedComments/threadedComment8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1.xml"/>
  <Override ContentType="application/vnd.openxmlformats-officedocument.spreadsheetml.comments+xml" PartName="/xl/comments10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ner Ratios and Funding" sheetId="1" r:id="rId5"/>
    <sheet state="visible" name="Unit Sold" sheetId="2" r:id="rId6"/>
    <sheet state="visible" name="Inner Bank Transfer" sheetId="3" r:id="rId7"/>
    <sheet state="visible" name="Total Expenses" sheetId="4" r:id="rId8"/>
    <sheet state="visible" name="Expense CC" sheetId="5" r:id="rId9"/>
    <sheet state="visible" name="Construction " sheetId="6" r:id="rId10"/>
    <sheet state="visible" name="Labour" sheetId="7" r:id="rId11"/>
    <sheet state="visible" name="Bank fees" sheetId="8" r:id="rId12"/>
    <sheet state="visible" name="Muncipality Expenses" sheetId="9" r:id="rId13"/>
    <sheet state="visible" name="Land acquisition" sheetId="10" r:id="rId14"/>
    <sheet state="visible" name="Loan Payment" sheetId="11" r:id="rId15"/>
    <sheet state="visible" name="Misc." sheetId="12" r:id="rId16"/>
    <sheet state="visible" name="Personal Loan" sheetId="13" r:id="rId17"/>
    <sheet state="visible" name="Accounting &amp;legal fee" sheetId="14" r:id="rId1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tc={5d700d0e-d0c3-4895-a90f-a160a309d152}</author>
    <author>tc={8b49018c-93fe-4d09-9b38-9d5256f870a1}</author>
    <author>tc={cadde9fe-49be-43b5-8c93-72deea41943b}</author>
    <author>tc={cbb82d45-fe79-4eff-a5d8-46dd47bf8832}</author>
    <author>tc={d075249a-b479-4692-82df-94a177ed7660}</author>
  </authors>
  <commentList>
    <comment authorId="0" xr:uid="{5d700d0e-d0c3-4895-a90f-a160a309d152}" ref="B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Funding of $100,000. 25% Share is $25,000. So instead of taking $40,000 from Vijay share (5%) we took $15,000.
</t>
      </text>
    </comment>
    <comment authorId="1" xr:uid="{8b49018c-93fe-4d09-9b38-9d5256f870a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Garbage
</t>
      </text>
    </comment>
    <comment authorId="2" xr:uid="{cadde9fe-49be-43b5-8c93-72deea41943b}" ref="E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$100,000 funding call
</t>
      </text>
    </comment>
    <comment authorId="3" xr:uid="{cbb82d45-fe79-4eff-a5d8-46dd47bf8832}" ref="C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Funding of $100,000. 25% Share is $25,000. So instead of taking $40,000 from Vijay share (5%) we took $15,000.
</t>
      </text>
    </comment>
    <comment authorId="4" xr:uid="{d075249a-b479-4692-82df-94a177ed7660}" ref="B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Sold 10% share to Harshad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77">
      <text>
        <t xml:space="preserve">kunal Amex</t>
      </text>
    </comment>
    <comment authorId="0" ref="E77">
      <text>
        <t xml:space="preserve">Kunal Amex 
personal Amount has been splitted
</t>
      </text>
    </comment>
    <comment authorId="0" ref="L77">
      <text>
        <t xml:space="preserve">Kunal Amex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$1,060,000 HUD. $40,000 Wired for Broker</t>
      </text>
    </comment>
    <comment authorId="0" ref="C9">
      <text>
        <t xml:space="preserve">| Category        | Amount   |
| --------------- | -------- |
| Loan Costs      | ~$51,490 |
| Title / Escrow  | ~$6,900  |
| Government Fees | ~$11,375 |
| Legal / Misc    | ~$8,129  |
| Tax Proration   | ~$4,813  |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tc={142cf03a-dbd3-402f-9e37-fa318d3fc525}</author>
    <author>tc={27748c6b-2de4-4a2a-9d66-690a00989f63}</author>
    <author>tc={33c27921-8a10-4238-9e02-897971544814}</author>
    <author>tc={3ac3ce1a-02f3-4c29-8ead-76d83621965c}</author>
    <author>tc={61b3b964-f7c1-42e5-803b-073d6a9634bc}</author>
    <author>tc={9fbc9b2e-529f-4d71-87da-4312c59834a1}</author>
    <author>tc={a467bb6e-5eaa-4000-9771-24d3f95d3dcb}</author>
    <author>tc={af20a527-a1aa-447f-95a7-380424f86e58}</author>
    <author>tc={c0cedd66-7b59-4de6-8e37-53992d4f2aef}</author>
    <author>tc={cc04a248-4880-42e6-be5b-1f12d25c782e}</author>
  </authors>
  <commentList>
    <comment authorId="0" ref="C148">
      <text>
        <t xml:space="preserve">Kunal Amex on behalf of other company</t>
      </text>
    </comment>
    <comment authorId="0" ref="C51">
      <text>
        <t xml:space="preserve">No Packing Sign
</t>
      </text>
    </comment>
    <comment authorId="0" ref="C146">
      <text>
        <t xml:space="preserve">Construction 
</t>
      </text>
    </comment>
    <comment authorId="0" ref="C49">
      <text>
        <t xml:space="preserve">Ks investment For Credit Card Bill</t>
      </text>
    </comment>
    <comment authorId="0" ref="C144">
      <text>
        <t xml:space="preserve">Kunal Amex</t>
      </text>
    </comment>
    <comment authorId="0" ref="C107">
      <text>
        <t xml:space="preserve">Kunal Amex Payment</t>
      </text>
    </comment>
    <comment authorId="0" ref="C74">
      <text>
        <t xml:space="preserve">Blow Test</t>
      </text>
    </comment>
    <comment authorId="0" ref="C105">
      <text>
        <t xml:space="preserve">Yatin Architect India</t>
      </text>
    </comment>
    <comment authorId="0" ref="C72">
      <text>
        <t xml:space="preserve">Garbage Payback</t>
      </text>
    </comment>
    <comment authorId="0" ref="C136">
      <text>
        <t xml:space="preserve">Electrical Final</t>
      </text>
    </comment>
    <comment authorId="0" ref="C68">
      <text>
        <t xml:space="preserve">Capex for cabinets</t>
      </text>
    </comment>
    <comment authorId="0" ref="C99">
      <text>
        <t xml:space="preserve">Kunal Amex Payment</t>
      </text>
    </comment>
    <comment authorId="0" ref="C130">
      <text>
        <t xml:space="preserve">Kunal Amex
</t>
      </text>
    </comment>
    <comment authorId="0" ref="C95">
      <text>
        <t xml:space="preserve">Hardwood Floor</t>
      </text>
    </comment>
    <comment authorId="0" ref="C62">
      <text>
        <t xml:space="preserve">Kunal Amex Payment
</t>
      </text>
    </comment>
    <comment authorId="0" ref="C87">
      <text>
        <t xml:space="preserve">Kunal Amex </t>
      </text>
    </comment>
    <comment authorId="0" ref="C116">
      <text>
        <t xml:space="preserve">Kunal Amex Payment</t>
      </text>
    </comment>
    <comment authorId="0" ref="C147">
      <text>
        <t xml:space="preserve">kunal Amex</t>
      </text>
    </comment>
    <comment authorId="0" ref="C145">
      <text>
        <t xml:space="preserve">Kunal Amex
</t>
      </text>
    </comment>
    <comment authorId="0" ref="C48">
      <text>
        <t xml:space="preserve">Payment for furniture to china by kunal shah
</t>
      </text>
    </comment>
    <comment authorId="0" ref="C139">
      <text>
        <t xml:space="preserve">Kunal Amex</t>
      </text>
    </comment>
    <comment authorId="0" ref="C104">
      <text>
        <t xml:space="preserve">Furniture From China
</t>
      </text>
    </comment>
    <comment authorId="0" ref="C102">
      <text>
        <t xml:space="preserve">Counter Top</t>
      </text>
    </comment>
    <comment authorId="0" ref="C69">
      <text>
        <t xml:space="preserve">Kunal Amex Payment</t>
      </text>
    </comment>
    <comment authorId="0" ref="C100">
      <text>
        <t xml:space="preserve">Amex Membership Fee
</t>
      </text>
    </comment>
    <comment authorId="1" xr:uid="{142cf03a-dbd3-402f-9e37-fa318d3fc525}" ref="C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Garbage
</t>
      </text>
    </comment>
    <comment authorId="2" xr:uid="{27748c6b-2de4-4a2a-9d66-690a00989f63}" ref="C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Packing Sings
</t>
      </text>
    </comment>
    <comment authorId="3" xr:uid="{33c27921-8a10-4238-9e02-897971544814}" ref="C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kunal Amex
</t>
      </text>
    </comment>
    <comment authorId="4" xr:uid="{3ac3ce1a-02f3-4c29-8ead-76d83621965c}" ref="C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Packing Signs
</t>
      </text>
    </comment>
    <comment authorId="5" xr:uid="{61b3b964-f7c1-42e5-803b-073d6a9634bc}" ref="C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Trash
</t>
      </text>
    </comment>
    <comment authorId="6" xr:uid="{9fbc9b2e-529f-4d71-87da-4312c59834a1}" ref="C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is for 202 Armstrong
</t>
      </text>
    </comment>
    <comment authorId="7" xr:uid="{a467bb6e-5eaa-4000-9771-24d3f95d3dcb}" ref="C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Trash
</t>
      </text>
    </comment>
    <comment authorId="8" xr:uid="{af20a527-a1aa-447f-95a7-380424f86e58}" ref="C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Trash
</t>
      </text>
    </comment>
    <comment authorId="9" xr:uid="{c0cedd66-7b59-4de6-8e37-53992d4f2aef}" ref="C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Packing Sign
</t>
      </text>
    </comment>
    <comment authorId="10" xr:uid="{cc04a248-4880-42e6-be5b-1f12d25c782e}" ref="C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Packing Signs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tc={698f0e7c-3f36-4d6e-b252-3584ecfcc1e8}</author>
    <author>tc={8b3a0233-cb6c-43a6-9984-d45b21cc412c}</author>
    <author>tc={ace6e171-e03e-40fd-8566-89a9d43efae0}</author>
    <author>tc={b69437be-0a55-438d-9844-310c91cf0e8d}</author>
  </authors>
  <commentList>
    <comment authorId="0" ref="C44">
      <text>
        <t xml:space="preserve">Labour as per Kunal
</t>
      </text>
    </comment>
    <comment authorId="0" ref="C76">
      <text>
        <t xml:space="preserve">Marketing</t>
      </text>
    </comment>
    <comment authorId="0" ref="C138">
      <text>
        <t xml:space="preserve">Marketing
</t>
      </text>
    </comment>
    <comment authorId="0" ref="C88">
      <text>
        <t xml:space="preserve">Marketing</t>
      </text>
    </comment>
    <comment authorId="0" ref="C104">
      <text>
        <t xml:space="preserve">Marketing
</t>
      </text>
    </comment>
    <comment authorId="0" ref="C151">
      <text>
        <t xml:space="preserve">Koki Salary</t>
      </text>
    </comment>
    <comment authorId="0" ref="C69">
      <text>
        <t xml:space="preserve">210 Fulton</t>
      </text>
    </comment>
    <comment authorId="1" xr:uid="{698f0e7c-3f36-4d6e-b252-3584ecfcc1e8}" ref="C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210 Fulton
</t>
      </text>
    </comment>
    <comment authorId="2" xr:uid="{8b3a0233-cb6c-43a6-9984-d45b21cc412c}" ref="C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Marketing
</t>
      </text>
    </comment>
    <comment authorId="3" xr:uid="{ace6e171-e03e-40fd-8566-89a9d43efae0}" ref="C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Labour as per kunal
</t>
      </text>
    </comment>
    <comment authorId="4" xr:uid="{b69437be-0a55-438d-9844-310c91cf0e8d}" ref="C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Marketing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tc={95281c7f-5a5c-47bf-b085-a0396a7ef798}</author>
  </authors>
  <commentList>
    <comment authorId="0" ref="B8">
      <text>
        <t xml:space="preserve">Check 2022
</t>
      </text>
    </comment>
    <comment authorId="1" xr:uid="{95281c7f-5a5c-47bf-b085-a0396a7ef798}" ref="B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Check 2022
Reply:
	Check 2022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tc={0966421e-a886-4945-a0f2-4aceecda462c}</author>
  </authors>
  <commentList>
    <comment authorId="0" ref="B8">
      <text>
        <t xml:space="preserve">Expense CT Office</t>
      </text>
    </comment>
    <comment authorId="1" xr:uid="{0966421e-a886-4945-a0f2-4aceecda462c}" ref="B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Expense CT Official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tc={31b5ef2b-9dfb-4f25-9498-2200396bce86}</author>
  </authors>
  <commentList>
    <comment authorId="0" xr:uid="{31b5ef2b-9dfb-4f25-9498-2200396bce86}" ref="B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Broker fee
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tc={c3f655ac-4dbd-48c0-9595-99561871532d}</author>
  </authors>
  <commentList>
    <comment authorId="0" xr:uid="{c3f655ac-4dbd-48c0-9595-99561871532d}" ref="C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Includes final interest payment and late charges
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4">
      <text>
        <t xml:space="preserve">Brokerage
</t>
      </text>
    </comment>
    <comment authorId="0" ref="B19">
      <text>
        <t xml:space="preserve">Loan Payment For Amex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tc={5fba1696-4231-4b7c-8878-6944fcf000f7}</author>
  </authors>
  <commentList>
    <comment authorId="0" ref="C6">
      <text>
        <t xml:space="preserve">Temp Loan As Per Kunal
to pay inetrest to Vijay </t>
      </text>
    </comment>
    <comment authorId="1" xr:uid="{5fba1696-4231-4b7c-8878-6944fcf000f7}" ref="C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Loan at 10% per annum October 1st between Kunal ,Harshad,Swekit
</t>
      </text>
    </comment>
  </commentList>
</comments>
</file>

<file path=xl/sharedStrings.xml><?xml version="1.0" encoding="utf-8"?>
<sst xmlns="http://schemas.openxmlformats.org/spreadsheetml/2006/main" count="1267" uniqueCount="692">
  <si>
    <t>Kunal Shah</t>
  </si>
  <si>
    <t>Swekit Patel</t>
  </si>
  <si>
    <t>Harshad Patel</t>
  </si>
  <si>
    <t>Kirit Chothani</t>
  </si>
  <si>
    <t>Nilesh Chothani</t>
  </si>
  <si>
    <t>Vijay Soni</t>
  </si>
  <si>
    <t>divided to Kunal, Swekit and Harshad</t>
  </si>
  <si>
    <t xml:space="preserve">Date </t>
  </si>
  <si>
    <t>Amount Deposited</t>
  </si>
  <si>
    <t>Sale</t>
  </si>
  <si>
    <t>Down payment Lender</t>
  </si>
  <si>
    <t>Construction</t>
  </si>
  <si>
    <t>Comm</t>
  </si>
  <si>
    <t>Peter Interest</t>
  </si>
  <si>
    <t>700*.75</t>
  </si>
  <si>
    <t>Total</t>
  </si>
  <si>
    <t>Required</t>
  </si>
  <si>
    <t>Unit #</t>
  </si>
  <si>
    <t>Sell Price</t>
  </si>
  <si>
    <t>Closing Cost</t>
  </si>
  <si>
    <t>Loan Pay off</t>
  </si>
  <si>
    <t>Deposit</t>
  </si>
  <si>
    <t>Net Distribution</t>
  </si>
  <si>
    <t>Sale Price</t>
  </si>
  <si>
    <t>Expenses</t>
  </si>
  <si>
    <t>Land Cost</t>
  </si>
  <si>
    <t>Interest</t>
  </si>
  <si>
    <t>Closing Costs</t>
  </si>
  <si>
    <t>Gross Profit</t>
  </si>
  <si>
    <t>Paul 25%</t>
  </si>
  <si>
    <t>Investment</t>
  </si>
  <si>
    <t>Return on Investment</t>
  </si>
  <si>
    <t>ROI%</t>
  </si>
  <si>
    <t>Capex Capital</t>
  </si>
  <si>
    <t>Ks Builders</t>
  </si>
  <si>
    <t>210 Fulton</t>
  </si>
  <si>
    <t>SV FUTURE</t>
  </si>
  <si>
    <t>F.C.I</t>
  </si>
  <si>
    <t>Shiv Dhruv</t>
  </si>
  <si>
    <t xml:space="preserve"> Forked River </t>
  </si>
  <si>
    <t>317 Summit</t>
  </si>
  <si>
    <t>JC Venture</t>
  </si>
  <si>
    <t>146 Academy</t>
  </si>
  <si>
    <t>Acepoint</t>
  </si>
  <si>
    <t>203 Danforth</t>
  </si>
  <si>
    <t>96 Clerk</t>
  </si>
  <si>
    <t>SR. NO</t>
  </si>
  <si>
    <t>Type</t>
  </si>
  <si>
    <t>Amount</t>
  </si>
  <si>
    <t>Land Acquisition</t>
  </si>
  <si>
    <t>Construction Cost + Labor</t>
  </si>
  <si>
    <t>Bank fees</t>
  </si>
  <si>
    <t>Muncipality</t>
  </si>
  <si>
    <t>Interest payments</t>
  </si>
  <si>
    <t>Miscellaneous</t>
  </si>
  <si>
    <t>Accounting &amp; Legal fee</t>
  </si>
  <si>
    <t>Closing Costs (Purchase)</t>
  </si>
  <si>
    <t>Closing Costs(Sale)</t>
  </si>
  <si>
    <t>Amex Interest to Capex</t>
  </si>
  <si>
    <t>Total Cost of Project</t>
  </si>
  <si>
    <t>Date</t>
  </si>
  <si>
    <t>Receipt</t>
  </si>
  <si>
    <t>Description</t>
  </si>
  <si>
    <t>Card Member</t>
  </si>
  <si>
    <t>Account #</t>
  </si>
  <si>
    <t>WAWA FUEL/CONVENIENCKEARNY NJ</t>
  </si>
  <si>
    <t>DHRUMI SHAH</t>
  </si>
  <si>
    <t>FUEL 4 JERSEY CITY JERSEY CITY NJ</t>
  </si>
  <si>
    <t>THE HOME DEPOT CLIFTON NJ</t>
  </si>
  <si>
    <t>TICK TOCK DINER CLIFTON NJ</t>
  </si>
  <si>
    <t>QUICK CHEK CORPORATIBELLEVILLE NJ</t>
  </si>
  <si>
    <t>Debit</t>
  </si>
  <si>
    <t>Wire Transfer RA Design and Consultants</t>
  </si>
  <si>
    <t>Land</t>
  </si>
  <si>
    <t>Amex</t>
  </si>
  <si>
    <t>Kunal Amex</t>
  </si>
  <si>
    <t>Check 2001</t>
  </si>
  <si>
    <t xml:space="preserve"> Dynasty Protection</t>
  </si>
  <si>
    <t>Check 2002</t>
  </si>
  <si>
    <t xml:space="preserve"> Expidator CASH</t>
  </si>
  <si>
    <t>Credit</t>
  </si>
  <si>
    <t>Undo Wire transfer Vulcon</t>
  </si>
  <si>
    <t>Wire transfer Vulcon</t>
  </si>
  <si>
    <t>Check 2007</t>
  </si>
  <si>
    <t xml:space="preserve"> OEA</t>
  </si>
  <si>
    <t xml:space="preserve">Check 2010 </t>
  </si>
  <si>
    <t>Robert Hogan</t>
  </si>
  <si>
    <t xml:space="preserve"> Check 2022</t>
  </si>
  <si>
    <t>DEP</t>
  </si>
  <si>
    <t>Check 2009</t>
  </si>
  <si>
    <t>Cash</t>
  </si>
  <si>
    <t>Check 2032</t>
  </si>
  <si>
    <t>Check 2023</t>
  </si>
  <si>
    <t>Check 2011</t>
  </si>
  <si>
    <t xml:space="preserve"> Towich Siding</t>
  </si>
  <si>
    <t>Check 2034</t>
  </si>
  <si>
    <t xml:space="preserve"> Cash</t>
  </si>
  <si>
    <t xml:space="preserve">Check 1004 </t>
  </si>
  <si>
    <t>OEA</t>
  </si>
  <si>
    <t>Check 1025</t>
  </si>
  <si>
    <t xml:space="preserve"> N S Holical Tiles</t>
  </si>
  <si>
    <t>Check 2017</t>
  </si>
  <si>
    <t xml:space="preserve">  Cash</t>
  </si>
  <si>
    <t>Check 1031</t>
  </si>
  <si>
    <t xml:space="preserve"> Tomich Siding</t>
  </si>
  <si>
    <t>Check 1028</t>
  </si>
  <si>
    <t>Check 2038</t>
  </si>
  <si>
    <t xml:space="preserve"> Figuri Construction Corp</t>
  </si>
  <si>
    <t xml:space="preserve">Check 1012 </t>
  </si>
  <si>
    <t>Check 1034</t>
  </si>
  <si>
    <t>Frank Verboot</t>
  </si>
  <si>
    <t>Check 2046</t>
  </si>
  <si>
    <t xml:space="preserve"> RVC</t>
  </si>
  <si>
    <t>Check 1026</t>
  </si>
  <si>
    <t xml:space="preserve"> Fisuci Construction Corp</t>
  </si>
  <si>
    <t>Check 2052</t>
  </si>
  <si>
    <t>Check 1040</t>
  </si>
  <si>
    <t xml:space="preserve"> Tomich siding </t>
  </si>
  <si>
    <t>Check 1045</t>
  </si>
  <si>
    <t>Check 1052</t>
  </si>
  <si>
    <t>Tomich Construction</t>
  </si>
  <si>
    <t>Check 1054</t>
  </si>
  <si>
    <t xml:space="preserve"> Level Five</t>
  </si>
  <si>
    <t>Check 1070</t>
  </si>
  <si>
    <t>Check 1075</t>
  </si>
  <si>
    <t>Level Five</t>
  </si>
  <si>
    <t>Check 1077</t>
  </si>
  <si>
    <t>Tomich Siding</t>
  </si>
  <si>
    <t>Check 1076</t>
  </si>
  <si>
    <t>CFC General Contractor</t>
  </si>
  <si>
    <t>2754 to 2424</t>
  </si>
  <si>
    <t>Check 1097</t>
  </si>
  <si>
    <t>RVC Construction</t>
  </si>
  <si>
    <t xml:space="preserve">CAPEX </t>
  </si>
  <si>
    <t>2754 to 3448</t>
  </si>
  <si>
    <t>Check 1098</t>
  </si>
  <si>
    <t>Check 1109</t>
  </si>
  <si>
    <t>Check 1110</t>
  </si>
  <si>
    <t>M D Wiring</t>
  </si>
  <si>
    <t>Check 1111</t>
  </si>
  <si>
    <t>Frank Verbout</t>
  </si>
  <si>
    <t>Check 1124</t>
  </si>
  <si>
    <t>Check 1127</t>
  </si>
  <si>
    <t>Perfect Weather</t>
  </si>
  <si>
    <t>Check 1128</t>
  </si>
  <si>
    <t>Check 1125</t>
  </si>
  <si>
    <t>Check 1126</t>
  </si>
  <si>
    <t>Check 1148</t>
  </si>
  <si>
    <t>Juan Hoqctas</t>
  </si>
  <si>
    <t>Check 1149</t>
  </si>
  <si>
    <t>Lyto Construction</t>
  </si>
  <si>
    <t>Check 1162</t>
  </si>
  <si>
    <t>Dynasty Fire</t>
  </si>
  <si>
    <t>Check 1132</t>
  </si>
  <si>
    <t>Check 1179</t>
  </si>
  <si>
    <t>Check 1178</t>
  </si>
  <si>
    <t>Check 1184</t>
  </si>
  <si>
    <t>Check 1186</t>
  </si>
  <si>
    <t>Check 1185</t>
  </si>
  <si>
    <t>Check 1202</t>
  </si>
  <si>
    <t>Juan Minin</t>
  </si>
  <si>
    <t>Check 1183</t>
  </si>
  <si>
    <t>Vulcon Innovation</t>
  </si>
  <si>
    <t>Check 1204</t>
  </si>
  <si>
    <t>American Consulting</t>
  </si>
  <si>
    <t>Check 1203</t>
  </si>
  <si>
    <t>Sole Construction Corp</t>
  </si>
  <si>
    <t>Check 1213</t>
  </si>
  <si>
    <t>Virbilio Zacarias</t>
  </si>
  <si>
    <t>3448 to 2754</t>
  </si>
  <si>
    <t>Check 1220</t>
  </si>
  <si>
    <t>Check 1230</t>
  </si>
  <si>
    <t>Clear Flown LLC</t>
  </si>
  <si>
    <t>Check 1232</t>
  </si>
  <si>
    <t xml:space="preserve">Angie Vanessa </t>
  </si>
  <si>
    <t>Check 1480</t>
  </si>
  <si>
    <t>Richard Wadsworth</t>
  </si>
  <si>
    <t>Check 1481</t>
  </si>
  <si>
    <t>Check 1482</t>
  </si>
  <si>
    <t>Check 1497</t>
  </si>
  <si>
    <t>Juan Hubrtas</t>
  </si>
  <si>
    <t>Check 1502</t>
  </si>
  <si>
    <t>Check 1501</t>
  </si>
  <si>
    <t>Check 1500</t>
  </si>
  <si>
    <t>Check 1498</t>
  </si>
  <si>
    <t>Check 1514</t>
  </si>
  <si>
    <t>Check 1517</t>
  </si>
  <si>
    <t>Check 1524</t>
  </si>
  <si>
    <t>Check 1527</t>
  </si>
  <si>
    <t>Edward Corp</t>
  </si>
  <si>
    <t>Check 1528</t>
  </si>
  <si>
    <t>Juan Hacrtos</t>
  </si>
  <si>
    <t>Check 1529</t>
  </si>
  <si>
    <t>Check 1530</t>
  </si>
  <si>
    <t>Check 2065</t>
  </si>
  <si>
    <t>Check 1250</t>
  </si>
  <si>
    <t>Charles Torres</t>
  </si>
  <si>
    <t>Check 1248</t>
  </si>
  <si>
    <t>American Marble Granite</t>
  </si>
  <si>
    <t>Check 2062</t>
  </si>
  <si>
    <t>Meredith Hafman</t>
  </si>
  <si>
    <t>Int Wire Out Investment</t>
  </si>
  <si>
    <t xml:space="preserve">Western Union </t>
  </si>
  <si>
    <t>Check 1252</t>
  </si>
  <si>
    <t>Christian Holguin</t>
  </si>
  <si>
    <t>2754 To 3448</t>
  </si>
  <si>
    <t>Check 1259</t>
  </si>
  <si>
    <t>MFT Painting Company</t>
  </si>
  <si>
    <t>Check 1272</t>
  </si>
  <si>
    <t>Check 1261</t>
  </si>
  <si>
    <t>Hector Vgacto</t>
  </si>
  <si>
    <t>Check 1271</t>
  </si>
  <si>
    <t>Check 1262</t>
  </si>
  <si>
    <t>Check 1273</t>
  </si>
  <si>
    <t>Check 1277</t>
  </si>
  <si>
    <t>Check 1280</t>
  </si>
  <si>
    <t>RA Design And Con</t>
  </si>
  <si>
    <t>Check 1293</t>
  </si>
  <si>
    <t>Check 1294</t>
  </si>
  <si>
    <t>Check 1304</t>
  </si>
  <si>
    <t>Check 1295</t>
  </si>
  <si>
    <t>Juan Huctos</t>
  </si>
  <si>
    <t>Check 1307</t>
  </si>
  <si>
    <t>Check 1225</t>
  </si>
  <si>
    <t>Check 1311</t>
  </si>
  <si>
    <t>Check 1310</t>
  </si>
  <si>
    <t>Met Painting Company</t>
  </si>
  <si>
    <t>Check 2110</t>
  </si>
  <si>
    <t>Alvaro Stairs</t>
  </si>
  <si>
    <t>Check 1316</t>
  </si>
  <si>
    <t>Check 1315</t>
  </si>
  <si>
    <t>Withdrawal</t>
  </si>
  <si>
    <t>Cleaning</t>
  </si>
  <si>
    <t>Check 2105</t>
  </si>
  <si>
    <t>Check 2108</t>
  </si>
  <si>
    <t>Check 1322</t>
  </si>
  <si>
    <t>M F Painting LLC</t>
  </si>
  <si>
    <t>Check 1327</t>
  </si>
  <si>
    <t>Check 1326</t>
  </si>
  <si>
    <t>Yhon Osocio</t>
  </si>
  <si>
    <t>Check 8005</t>
  </si>
  <si>
    <t>Tor Shower Door</t>
  </si>
  <si>
    <t>Check 2116</t>
  </si>
  <si>
    <t>Check 1330</t>
  </si>
  <si>
    <t>L M Design Studio</t>
  </si>
  <si>
    <t>Check 1333</t>
  </si>
  <si>
    <t>Check 1335</t>
  </si>
  <si>
    <t>Check 1344</t>
  </si>
  <si>
    <t>Mando Construction Corp</t>
  </si>
  <si>
    <t>Mode</t>
  </si>
  <si>
    <t xml:space="preserve">Description </t>
  </si>
  <si>
    <t xml:space="preserve">Check 2004 </t>
  </si>
  <si>
    <t>Luis Angel Rimacachin</t>
  </si>
  <si>
    <t>Check 2006</t>
  </si>
  <si>
    <t>Juan minim</t>
  </si>
  <si>
    <t xml:space="preserve">Check 2005 </t>
  </si>
  <si>
    <t>Macuin Chonay</t>
  </si>
  <si>
    <t xml:space="preserve">Check 2008 </t>
  </si>
  <si>
    <t xml:space="preserve">Check 2013 </t>
  </si>
  <si>
    <t>Check 1002</t>
  </si>
  <si>
    <t>Check 1003</t>
  </si>
  <si>
    <t>Javier Alejandro Omaza</t>
  </si>
  <si>
    <t>Check 2029</t>
  </si>
  <si>
    <t>Check 2025</t>
  </si>
  <si>
    <t>Nilson Mocalos</t>
  </si>
  <si>
    <t>Check 2027</t>
  </si>
  <si>
    <t>Carlos Chipix</t>
  </si>
  <si>
    <t>Check 2028</t>
  </si>
  <si>
    <t>Check 2030</t>
  </si>
  <si>
    <t>Crisanto cum Plato</t>
  </si>
  <si>
    <t>Check 2026</t>
  </si>
  <si>
    <t>Victor Cutzal</t>
  </si>
  <si>
    <t>Check 2024</t>
  </si>
  <si>
    <t>Jose Guella</t>
  </si>
  <si>
    <t>Check 2033</t>
  </si>
  <si>
    <t>Check 2031</t>
  </si>
  <si>
    <t xml:space="preserve">Luis Angle </t>
  </si>
  <si>
    <t>Check 1011</t>
  </si>
  <si>
    <t>Check 1009</t>
  </si>
  <si>
    <t>Jose Lopez</t>
  </si>
  <si>
    <t>Check 1006</t>
  </si>
  <si>
    <t>Check 1007</t>
  </si>
  <si>
    <t>Check 1010</t>
  </si>
  <si>
    <t>Check1008</t>
  </si>
  <si>
    <t>Check 1005</t>
  </si>
  <si>
    <t>Edwin Espana</t>
  </si>
  <si>
    <t>Check 2016</t>
  </si>
  <si>
    <t>Check 2014</t>
  </si>
  <si>
    <t>Check 2012</t>
  </si>
  <si>
    <t>Check 2037</t>
  </si>
  <si>
    <t>Jose Chavier</t>
  </si>
  <si>
    <t>Check 2042</t>
  </si>
  <si>
    <t>Check 2041</t>
  </si>
  <si>
    <t>Check 2043</t>
  </si>
  <si>
    <t>Check 2039</t>
  </si>
  <si>
    <t>Check 2045</t>
  </si>
  <si>
    <t>Check 2015</t>
  </si>
  <si>
    <t>Check 2044</t>
  </si>
  <si>
    <t>Check 2020</t>
  </si>
  <si>
    <t>Check 2051</t>
  </si>
  <si>
    <t>Jorce Parblo</t>
  </si>
  <si>
    <t>Check 2019</t>
  </si>
  <si>
    <t>Check 2021</t>
  </si>
  <si>
    <t>Check 2048</t>
  </si>
  <si>
    <t>Check 2018</t>
  </si>
  <si>
    <t>Check 2050</t>
  </si>
  <si>
    <t>Milton son</t>
  </si>
  <si>
    <t>Check 2049</t>
  </si>
  <si>
    <t>withrawal</t>
  </si>
  <si>
    <t>Builder Capital</t>
  </si>
  <si>
    <t>Check 1036</t>
  </si>
  <si>
    <t>Check 1029</t>
  </si>
  <si>
    <t>Check 1033</t>
  </si>
  <si>
    <t>Jorbt Pocvalo</t>
  </si>
  <si>
    <t>Check 1038</t>
  </si>
  <si>
    <t>Check 1032</t>
  </si>
  <si>
    <t>Check 1030</t>
  </si>
  <si>
    <t>Check 1027</t>
  </si>
  <si>
    <t>Check 1035</t>
  </si>
  <si>
    <t>Check 1039</t>
  </si>
  <si>
    <t>Check 1041</t>
  </si>
  <si>
    <t>Check 1044</t>
  </si>
  <si>
    <t>Check 1046</t>
  </si>
  <si>
    <t>Check 1049</t>
  </si>
  <si>
    <t>Check 1043</t>
  </si>
  <si>
    <t>Check 1042</t>
  </si>
  <si>
    <t>Check 1047</t>
  </si>
  <si>
    <t>Check 1048</t>
  </si>
  <si>
    <t>Check 1053</t>
  </si>
  <si>
    <t>Check 1050</t>
  </si>
  <si>
    <t>Check 1055</t>
  </si>
  <si>
    <t>Check 1227</t>
  </si>
  <si>
    <t>Check 1228</t>
  </si>
  <si>
    <t>Check 1226</t>
  </si>
  <si>
    <t>Check 1051</t>
  </si>
  <si>
    <t>Check 1256</t>
  </si>
  <si>
    <t>Virbilio Pexeilla</t>
  </si>
  <si>
    <t>Check 1066</t>
  </si>
  <si>
    <t>Check 1067</t>
  </si>
  <si>
    <t>Carlos Minin</t>
  </si>
  <si>
    <t>Check 1062</t>
  </si>
  <si>
    <t>Check 1063</t>
  </si>
  <si>
    <t>Jorge Pervalo</t>
  </si>
  <si>
    <t>Check 1064</t>
  </si>
  <si>
    <t>Christian Ponte</t>
  </si>
  <si>
    <t>Check 1065</t>
  </si>
  <si>
    <t>Check 2057</t>
  </si>
  <si>
    <t>Akanksha Shah</t>
  </si>
  <si>
    <t>Check 1060</t>
  </si>
  <si>
    <t>Check 1059</t>
  </si>
  <si>
    <t>Check 1058</t>
  </si>
  <si>
    <t>Check 1057</t>
  </si>
  <si>
    <t>Check 1061</t>
  </si>
  <si>
    <t>Darwin Cutzal</t>
  </si>
  <si>
    <t>Check 1069</t>
  </si>
  <si>
    <t>Check 1074</t>
  </si>
  <si>
    <t>Check 1072</t>
  </si>
  <si>
    <t>Jorbe Pervalo</t>
  </si>
  <si>
    <t>Check 1073</t>
  </si>
  <si>
    <t>Juan MInin</t>
  </si>
  <si>
    <t>Check 1068</t>
  </si>
  <si>
    <t>Check 1071</t>
  </si>
  <si>
    <t>Check 2060</t>
  </si>
  <si>
    <t>Balloons N Ribbons</t>
  </si>
  <si>
    <t>Check 1080</t>
  </si>
  <si>
    <t>Check 1082</t>
  </si>
  <si>
    <t>Check 1081</t>
  </si>
  <si>
    <t>Check 1085</t>
  </si>
  <si>
    <t>Check 1084</t>
  </si>
  <si>
    <t>Check 1083</t>
  </si>
  <si>
    <t>Rene Cutzal</t>
  </si>
  <si>
    <t>Check 1089</t>
  </si>
  <si>
    <t>Camilo Tocachi</t>
  </si>
  <si>
    <t>Check 1088</t>
  </si>
  <si>
    <t>Check 1087</t>
  </si>
  <si>
    <t>Check 1090</t>
  </si>
  <si>
    <t>Check 1092</t>
  </si>
  <si>
    <t>Check 1091</t>
  </si>
  <si>
    <t>Carlos Cutzal</t>
  </si>
  <si>
    <t>Check 1096</t>
  </si>
  <si>
    <t>Acoldo Espaina</t>
  </si>
  <si>
    <t>Check 1095</t>
  </si>
  <si>
    <t xml:space="preserve"> Victor Cutzal</t>
  </si>
  <si>
    <t>Check 1094</t>
  </si>
  <si>
    <t>Ezxquiel Ordonez</t>
  </si>
  <si>
    <t>Check 2063</t>
  </si>
  <si>
    <t>Check 1093</t>
  </si>
  <si>
    <t>Jonathan Cutzal</t>
  </si>
  <si>
    <t>Check 1086</t>
  </si>
  <si>
    <t>Check 1099</t>
  </si>
  <si>
    <t>Check 1105</t>
  </si>
  <si>
    <t>Check 1101</t>
  </si>
  <si>
    <t>Jorse Pervalo</t>
  </si>
  <si>
    <t>Check 1103</t>
  </si>
  <si>
    <t>Esequiel Ordonez</t>
  </si>
  <si>
    <t>Check 1106</t>
  </si>
  <si>
    <t>Check 1104</t>
  </si>
  <si>
    <t>Check 1108</t>
  </si>
  <si>
    <t>Check 1107</t>
  </si>
  <si>
    <t>Jose Aroldo Espana Miza</t>
  </si>
  <si>
    <t>Check 1100</t>
  </si>
  <si>
    <t>Carlos Cipix</t>
  </si>
  <si>
    <t>Check 1116</t>
  </si>
  <si>
    <t>Check 1118</t>
  </si>
  <si>
    <t>Jose Espana</t>
  </si>
  <si>
    <t>Check 1120</t>
  </si>
  <si>
    <t>Check 1121</t>
  </si>
  <si>
    <t>Check 1119</t>
  </si>
  <si>
    <t>Check 1114</t>
  </si>
  <si>
    <t>Check 1117</t>
  </si>
  <si>
    <t>Check 1115</t>
  </si>
  <si>
    <t>Check 1123</t>
  </si>
  <si>
    <t>Check 1122</t>
  </si>
  <si>
    <t>Check 1112</t>
  </si>
  <si>
    <t>Check 1144</t>
  </si>
  <si>
    <t>Check 1133</t>
  </si>
  <si>
    <t>Check 1136</t>
  </si>
  <si>
    <t>Check 1134</t>
  </si>
  <si>
    <t>Check 1147</t>
  </si>
  <si>
    <t>Check 1143</t>
  </si>
  <si>
    <t>Check 1139</t>
  </si>
  <si>
    <t>Check 1141</t>
  </si>
  <si>
    <t>Check 1137</t>
  </si>
  <si>
    <t>Check 1140</t>
  </si>
  <si>
    <t>Check 1146</t>
  </si>
  <si>
    <t>Check 2059</t>
  </si>
  <si>
    <t>Check 1159</t>
  </si>
  <si>
    <t>Check 1160</t>
  </si>
  <si>
    <t>Check 1161</t>
  </si>
  <si>
    <t>Jorbe Caldoron</t>
  </si>
  <si>
    <t>Check 1153</t>
  </si>
  <si>
    <t>Check 1155</t>
  </si>
  <si>
    <t>Check 1156</t>
  </si>
  <si>
    <t>Check 1152</t>
  </si>
  <si>
    <t>Check 1151</t>
  </si>
  <si>
    <t>Check 1157</t>
  </si>
  <si>
    <t>Check 1150</t>
  </si>
  <si>
    <t>Check 1154</t>
  </si>
  <si>
    <t>Check 1158</t>
  </si>
  <si>
    <t>Check 1163</t>
  </si>
  <si>
    <t>Check  1164</t>
  </si>
  <si>
    <t>Check 1176</t>
  </si>
  <si>
    <t>Check 1165</t>
  </si>
  <si>
    <t>Check 1168</t>
  </si>
  <si>
    <t>Check 1172</t>
  </si>
  <si>
    <t>Check 1173</t>
  </si>
  <si>
    <t>Check 1171</t>
  </si>
  <si>
    <t>Check 1174</t>
  </si>
  <si>
    <t>Check 1167</t>
  </si>
  <si>
    <t>Check 1169</t>
  </si>
  <si>
    <t>Check 1175</t>
  </si>
  <si>
    <t>Check 1166</t>
  </si>
  <si>
    <t>Check 1170</t>
  </si>
  <si>
    <t>Check 1180</t>
  </si>
  <si>
    <t>Check 1181</t>
  </si>
  <si>
    <t>Check 1182</t>
  </si>
  <si>
    <t>Check 2066</t>
  </si>
  <si>
    <t>Check 1192</t>
  </si>
  <si>
    <t>Check 1188</t>
  </si>
  <si>
    <t>Check 1195</t>
  </si>
  <si>
    <t>Walter Cutzal</t>
  </si>
  <si>
    <t>Check 1194</t>
  </si>
  <si>
    <t>Check 1191</t>
  </si>
  <si>
    <t>Check 1187</t>
  </si>
  <si>
    <t>Check 1189</t>
  </si>
  <si>
    <t>Check 1201</t>
  </si>
  <si>
    <t>Check 1190</t>
  </si>
  <si>
    <t>Check 1200</t>
  </si>
  <si>
    <t>Check 1196</t>
  </si>
  <si>
    <t>Check 1197</t>
  </si>
  <si>
    <t>Jose Gonzales</t>
  </si>
  <si>
    <t>Check 1199</t>
  </si>
  <si>
    <t>Check 1193</t>
  </si>
  <si>
    <t>Christian Holbin</t>
  </si>
  <si>
    <t>Check 1206</t>
  </si>
  <si>
    <t>Luis Rimacachin</t>
  </si>
  <si>
    <t>Check 1212</t>
  </si>
  <si>
    <t>Check 1208</t>
  </si>
  <si>
    <t>Check 1211</t>
  </si>
  <si>
    <t>Check 1210</t>
  </si>
  <si>
    <t>Cristian Holbuin</t>
  </si>
  <si>
    <t>Check 1207</t>
  </si>
  <si>
    <t>Check 1209</t>
  </si>
  <si>
    <t>Check 1205</t>
  </si>
  <si>
    <t>Check 1217</t>
  </si>
  <si>
    <t>Check 1214</t>
  </si>
  <si>
    <t>Check 1215</t>
  </si>
  <si>
    <t>Check 1216</t>
  </si>
  <si>
    <t>Check 1218</t>
  </si>
  <si>
    <t>Check 1219</t>
  </si>
  <si>
    <t>Check 1476</t>
  </si>
  <si>
    <t>Check 1473</t>
  </si>
  <si>
    <t>Christian Holbuin</t>
  </si>
  <si>
    <t>Check 1469</t>
  </si>
  <si>
    <t>Check 1474</t>
  </si>
  <si>
    <t>Luis Angle</t>
  </si>
  <si>
    <t>Check 1471</t>
  </si>
  <si>
    <t>Check 1468</t>
  </si>
  <si>
    <t>Check 1470</t>
  </si>
  <si>
    <t>Check 1475</t>
  </si>
  <si>
    <t>Check 1472</t>
  </si>
  <si>
    <t>Check 1478</t>
  </si>
  <si>
    <t>Check 1477</t>
  </si>
  <si>
    <t>Check 1499</t>
  </si>
  <si>
    <t>Check 1491</t>
  </si>
  <si>
    <t>Check 1490</t>
  </si>
  <si>
    <t>Check 1487</t>
  </si>
  <si>
    <t>Check 1485</t>
  </si>
  <si>
    <t>Check 1495</t>
  </si>
  <si>
    <t>Check 1494</t>
  </si>
  <si>
    <t>Check 1493</t>
  </si>
  <si>
    <t>Check 1484</t>
  </si>
  <si>
    <t>Check 1489</t>
  </si>
  <si>
    <t>Check 1486</t>
  </si>
  <si>
    <t>Check 1488</t>
  </si>
  <si>
    <t>Check 1496</t>
  </si>
  <si>
    <t>Check 1492</t>
  </si>
  <si>
    <t>Check 1513</t>
  </si>
  <si>
    <t>Check 1512</t>
  </si>
  <si>
    <t>Check 1510</t>
  </si>
  <si>
    <t>Check 1503</t>
  </si>
  <si>
    <t>Hector Vgacte</t>
  </si>
  <si>
    <t>Check 1506</t>
  </si>
  <si>
    <t>Check 1507</t>
  </si>
  <si>
    <t>Check 1504</t>
  </si>
  <si>
    <t>Check 2064</t>
  </si>
  <si>
    <t>Check 1508</t>
  </si>
  <si>
    <t>Check 1505</t>
  </si>
  <si>
    <t>Check 1511</t>
  </si>
  <si>
    <t>Check 1515</t>
  </si>
  <si>
    <t>Check 1520</t>
  </si>
  <si>
    <t>Check 1523</t>
  </si>
  <si>
    <t>Check 1522</t>
  </si>
  <si>
    <t>Check 1526</t>
  </si>
  <si>
    <t>Check 1519</t>
  </si>
  <si>
    <t>Check 1516</t>
  </si>
  <si>
    <t>Check 1521</t>
  </si>
  <si>
    <t>Check 1518</t>
  </si>
  <si>
    <t>Check 1525</t>
  </si>
  <si>
    <t>Check 1531</t>
  </si>
  <si>
    <t>Check 1247</t>
  </si>
  <si>
    <t>Check 1535</t>
  </si>
  <si>
    <t>Check 1532</t>
  </si>
  <si>
    <t>Check 1534</t>
  </si>
  <si>
    <t>Check 1533</t>
  </si>
  <si>
    <t>Check 1537</t>
  </si>
  <si>
    <t>Check 1254</t>
  </si>
  <si>
    <t>Check 1249</t>
  </si>
  <si>
    <t>Check 1251</t>
  </si>
  <si>
    <t>Check 1255</t>
  </si>
  <si>
    <t>Chacles Toccos</t>
  </si>
  <si>
    <t>Check 1268</t>
  </si>
  <si>
    <t>Gumtceindo Estopan</t>
  </si>
  <si>
    <t>Check 1258</t>
  </si>
  <si>
    <t>Check 1267</t>
  </si>
  <si>
    <t>Check 1257</t>
  </si>
  <si>
    <t>Check 1269</t>
  </si>
  <si>
    <t>Check 1260</t>
  </si>
  <si>
    <t>Check 1264</t>
  </si>
  <si>
    <t>Cruz Laces</t>
  </si>
  <si>
    <t>Check 1265</t>
  </si>
  <si>
    <t>Check 1278</t>
  </si>
  <si>
    <t>Check 1276</t>
  </si>
  <si>
    <t>Luis Angle Rimacachin</t>
  </si>
  <si>
    <t>Check 1274</t>
  </si>
  <si>
    <t>Check 1275</t>
  </si>
  <si>
    <t>Check 1289</t>
  </si>
  <si>
    <t>Check 1291</t>
  </si>
  <si>
    <t>Check 1283</t>
  </si>
  <si>
    <t>Check 1286</t>
  </si>
  <si>
    <t>Check 1279</t>
  </si>
  <si>
    <t>Check 1287</t>
  </si>
  <si>
    <t>Check 1290</t>
  </si>
  <si>
    <t>Check 1292</t>
  </si>
  <si>
    <t>Check 1285</t>
  </si>
  <si>
    <t>Check 1303</t>
  </si>
  <si>
    <t>Check 1297</t>
  </si>
  <si>
    <t>Check 1301</t>
  </si>
  <si>
    <t>Check 1302</t>
  </si>
  <si>
    <t>Check 1300</t>
  </si>
  <si>
    <t>Check 1296</t>
  </si>
  <si>
    <t>Check 1298</t>
  </si>
  <si>
    <t>Check 1284</t>
  </si>
  <si>
    <t>Check 1305</t>
  </si>
  <si>
    <t>Check 1308</t>
  </si>
  <si>
    <t>Check 1224</t>
  </si>
  <si>
    <t>Check 2104</t>
  </si>
  <si>
    <t>Check 1222</t>
  </si>
  <si>
    <t>Check 1306</t>
  </si>
  <si>
    <t>Check 2107</t>
  </si>
  <si>
    <t>Check 2109</t>
  </si>
  <si>
    <t>Check 1223</t>
  </si>
  <si>
    <t>Check 2106</t>
  </si>
  <si>
    <t>Check 1313</t>
  </si>
  <si>
    <t>Check 1312</t>
  </si>
  <si>
    <t>Check 1314</t>
  </si>
  <si>
    <t>Check 1321</t>
  </si>
  <si>
    <t>Jherson Pastor</t>
  </si>
  <si>
    <t>Check 1318</t>
  </si>
  <si>
    <t>Check 1319</t>
  </si>
  <si>
    <t>Check 1317</t>
  </si>
  <si>
    <t>Check 2112</t>
  </si>
  <si>
    <t>Check 1320</t>
  </si>
  <si>
    <t>Check 1325</t>
  </si>
  <si>
    <t>Check 2113</t>
  </si>
  <si>
    <t>Check 1323</t>
  </si>
  <si>
    <t>Check 1328</t>
  </si>
  <si>
    <t>Check 1324</t>
  </si>
  <si>
    <t>Check 2111</t>
  </si>
  <si>
    <t>Check 6</t>
  </si>
  <si>
    <t>Check 3</t>
  </si>
  <si>
    <t>Check 1</t>
  </si>
  <si>
    <t>Check 2114</t>
  </si>
  <si>
    <t>Juan Hectas</t>
  </si>
  <si>
    <t>Check 8</t>
  </si>
  <si>
    <t>Check 2</t>
  </si>
  <si>
    <t>Clinton Cutzal</t>
  </si>
  <si>
    <t>Check 2115</t>
  </si>
  <si>
    <t>Check 7</t>
  </si>
  <si>
    <t>Check 4</t>
  </si>
  <si>
    <t>Check 1332</t>
  </si>
  <si>
    <t>Check 1331</t>
  </si>
  <si>
    <t>Check 1334</t>
  </si>
  <si>
    <t>Check 1338</t>
  </si>
  <si>
    <t>Check 1337</t>
  </si>
  <si>
    <t>Check 1336</t>
  </si>
  <si>
    <t>Check 1339</t>
  </si>
  <si>
    <t>Check 1340</t>
  </si>
  <si>
    <t>Check 1341</t>
  </si>
  <si>
    <t>Check 1342</t>
  </si>
  <si>
    <t>Check 1343</t>
  </si>
  <si>
    <t>Wire Fees</t>
  </si>
  <si>
    <t xml:space="preserve">Total </t>
  </si>
  <si>
    <t>Chargeback fees</t>
  </si>
  <si>
    <t>Overdraft Item Charge</t>
  </si>
  <si>
    <t>Outgoing Wire Fee</t>
  </si>
  <si>
    <t>Reverse OD Item</t>
  </si>
  <si>
    <t>NJ Web PMT</t>
  </si>
  <si>
    <t>JC Tax Fee</t>
  </si>
  <si>
    <t>JC Tax</t>
  </si>
  <si>
    <t>Passaic Valley Sewage</t>
  </si>
  <si>
    <t>Jercey City CFee</t>
  </si>
  <si>
    <t>Jercey City Tax Payment</t>
  </si>
  <si>
    <t xml:space="preserve">Buider Capital </t>
  </si>
  <si>
    <t>NJ Gov Serve</t>
  </si>
  <si>
    <t>NJ WEb PMT</t>
  </si>
  <si>
    <t>Nj WEb PMT</t>
  </si>
  <si>
    <t>Closing for property</t>
  </si>
  <si>
    <t>Checking Withdrawal</t>
  </si>
  <si>
    <t>Wire transfer SunnySide Title</t>
  </si>
  <si>
    <t xml:space="preserve">Check 1001 FCI Lender Service </t>
  </si>
  <si>
    <t>FCI Lender Service</t>
  </si>
  <si>
    <t>Total Interest Paid</t>
  </si>
  <si>
    <t>Final Summary</t>
  </si>
  <si>
    <t>Category</t>
  </si>
  <si>
    <t>Interest Paid Before Mar 2025</t>
  </si>
  <si>
    <t>Interest Paid Mar 2025–Mar 2026</t>
  </si>
  <si>
    <t>Fees &amp; Charges</t>
  </si>
  <si>
    <t>✅ Total Interest + Fees Paid:</t>
  </si>
  <si>
    <t>Final Interest payment</t>
  </si>
  <si>
    <t>MODE</t>
  </si>
  <si>
    <t>Wash out</t>
  </si>
  <si>
    <t>Chargeback serial</t>
  </si>
  <si>
    <t>Bus Prods for checks</t>
  </si>
  <si>
    <t>1913 to 2754</t>
  </si>
  <si>
    <t>2754 as per kunal</t>
  </si>
  <si>
    <t>1855 to 2754</t>
  </si>
  <si>
    <t>2754 to 1855</t>
  </si>
  <si>
    <t>2754 to 1913</t>
  </si>
  <si>
    <t>Point Grande</t>
  </si>
  <si>
    <t>-25000 (Cash Swap Harshad)????</t>
  </si>
  <si>
    <t>Friend Of Anand Shah</t>
  </si>
  <si>
    <t>Check 2054</t>
  </si>
  <si>
    <t>donation</t>
  </si>
  <si>
    <t>Builder to Condo</t>
  </si>
  <si>
    <t>fee</t>
  </si>
  <si>
    <t>cleanign</t>
  </si>
  <si>
    <t>Diamond Agency</t>
  </si>
  <si>
    <t>Check 2061</t>
  </si>
  <si>
    <t>Rent</t>
  </si>
  <si>
    <t>Wire Transfer</t>
  </si>
  <si>
    <t>Fci loan Payment</t>
  </si>
  <si>
    <t xml:space="preserve">Mode </t>
  </si>
  <si>
    <t>Discription</t>
  </si>
  <si>
    <t>Deposite</t>
  </si>
  <si>
    <t xml:space="preserve">Withdrawal </t>
  </si>
  <si>
    <t>Piyush Patel To Builders</t>
  </si>
  <si>
    <t>Piyush Patel</t>
  </si>
  <si>
    <t>Check 1020</t>
  </si>
  <si>
    <t>Check 1021</t>
  </si>
  <si>
    <t>Ami CPA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</si>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</sst>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&quot;$&quot;#,##0.00"/>
    <numFmt numFmtId="165" formatCode="&quot;$&quot;#,##0"/>
    <numFmt numFmtId="166" formatCode="m/d/yy"/>
    <numFmt numFmtId="167" formatCode="m/d"/>
    <numFmt numFmtId="168" formatCode="mm/dd/yyyy"/>
    <numFmt numFmtId="169" formatCode="m/d/yyyy"/>
    <numFmt numFmtId="170" formatCode="M/d/yyyy"/>
    <numFmt numFmtId="171" formatCode="$#,##0.00_);[Red]$#,##0.00"/>
  </numFmts>
  <fonts count="1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b/>
      <sz val="15.0"/>
      <color rgb="FFFF0000"/>
      <name val="Arial"/>
      <scheme val="minor"/>
    </font>
    <font>
      <sz val="15.0"/>
      <color theme="1"/>
      <name val="Arial"/>
      <scheme val="minor"/>
    </font>
    <font>
      <b/>
      <sz val="15.0"/>
      <color theme="1"/>
      <name val="Arial"/>
      <scheme val="minor"/>
    </font>
    <font>
      <b/>
      <color rgb="FFFF0000"/>
      <name val="Arial"/>
      <scheme val="minor"/>
    </font>
    <font>
      <b/>
      <sz val="11.0"/>
      <color rgb="FF000080"/>
      <name val="Calibri"/>
    </font>
    <font>
      <sz val="11.0"/>
      <color rgb="FF000000"/>
      <name val="Calibri"/>
    </font>
    <font>
      <color theme="1"/>
      <name val="Arial"/>
    </font>
    <font>
      <color rgb="FF000000"/>
      <name val="Arial"/>
    </font>
    <font>
      <sz val="12.0"/>
      <color rgb="FF000000"/>
      <name val="Arial"/>
      <scheme val="minor"/>
    </font>
    <font>
      <b/>
      <sz val="24.0"/>
      <color theme="1"/>
      <name val="Arial"/>
      <scheme val="minor"/>
    </font>
    <font>
      <b/>
      <sz val="14.0"/>
      <color rgb="FFFF0000"/>
      <name val="Arial"/>
      <scheme val="minor"/>
    </font>
    <font>
      <b/>
      <sz val="14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99CCFF"/>
        <bgColor rgb="FF99CCFF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F2F2F2"/>
      </left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Font="1" applyNumberFormat="1"/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9" xfId="0" applyAlignment="1" applyBorder="1" applyFont="1" applyNumberFormat="1">
      <alignment readingOrder="0"/>
    </xf>
    <xf borderId="1" fillId="0" fontId="2" numFmtId="164" xfId="0" applyBorder="1" applyFont="1" applyNumberFormat="1"/>
    <xf borderId="1" fillId="0" fontId="2" numFmtId="164" xfId="0" applyAlignment="1" applyBorder="1" applyFont="1" applyNumberFormat="1">
      <alignment readingOrder="0"/>
    </xf>
    <xf borderId="1" fillId="0" fontId="2" numFmtId="0" xfId="0" applyBorder="1" applyFont="1"/>
    <xf borderId="1" fillId="0" fontId="2" numFmtId="9" xfId="0" applyBorder="1" applyFont="1" applyNumberFormat="1"/>
    <xf borderId="0" fillId="0" fontId="2" numFmtId="166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2" fillId="0" fontId="2" numFmtId="0" xfId="0" applyAlignment="1" applyBorder="1" applyFont="1">
      <alignment horizontal="center" readingOrder="0" vertical="center"/>
    </xf>
    <xf borderId="0" fillId="0" fontId="2" numFmtId="164" xfId="0" applyAlignment="1" applyFont="1" applyNumberFormat="1">
      <alignment horizontal="center" readingOrder="0"/>
    </xf>
    <xf borderId="3" fillId="0" fontId="3" numFmtId="0" xfId="0" applyBorder="1" applyFont="1"/>
    <xf borderId="1" fillId="0" fontId="2" numFmtId="164" xfId="0" applyAlignment="1" applyBorder="1" applyFont="1" applyNumberFormat="1">
      <alignment horizontal="center" readingOrder="0"/>
    </xf>
    <xf borderId="1" fillId="0" fontId="2" numFmtId="168" xfId="0" applyAlignment="1" applyBorder="1" applyFont="1" applyNumberFormat="1">
      <alignment horizontal="center" readingOrder="0"/>
    </xf>
    <xf borderId="0" fillId="0" fontId="2" numFmtId="0" xfId="0" applyFont="1"/>
    <xf borderId="1" fillId="0" fontId="2" numFmtId="169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4" fillId="0" fontId="2" numFmtId="164" xfId="0" applyBorder="1" applyFont="1" applyNumberFormat="1"/>
    <xf borderId="1" fillId="0" fontId="2" numFmtId="3" xfId="0" applyBorder="1" applyFont="1" applyNumberFormat="1"/>
    <xf borderId="1" fillId="0" fontId="1" numFmtId="3" xfId="0" applyAlignment="1" applyBorder="1" applyFont="1" applyNumberFormat="1">
      <alignment readingOrder="0"/>
    </xf>
    <xf borderId="1" fillId="0" fontId="1" numFmtId="164" xfId="0" applyAlignment="1" applyBorder="1" applyFont="1" applyNumberFormat="1">
      <alignment readingOrder="0"/>
    </xf>
    <xf borderId="0" fillId="0" fontId="1" numFmtId="164" xfId="0" applyFont="1" applyNumberFormat="1"/>
    <xf borderId="0" fillId="0" fontId="1" numFmtId="0" xfId="0" applyFont="1"/>
    <xf borderId="1" fillId="0" fontId="2" numFmtId="3" xfId="0" applyAlignment="1" applyBorder="1" applyFont="1" applyNumberFormat="1">
      <alignment readingOrder="0"/>
    </xf>
    <xf borderId="1" fillId="0" fontId="1" numFmtId="164" xfId="0" applyBorder="1" applyFont="1" applyNumberFormat="1"/>
    <xf borderId="0" fillId="0" fontId="2" numFmtId="3" xfId="0" applyFont="1" applyNumberFormat="1"/>
    <xf borderId="1" fillId="2" fontId="4" numFmtId="3" xfId="0" applyAlignment="1" applyBorder="1" applyFill="1" applyFont="1" applyNumberFormat="1">
      <alignment readingOrder="0"/>
    </xf>
    <xf borderId="1" fillId="2" fontId="4" numFmtId="164" xfId="0" applyBorder="1" applyFill="1" applyFont="1" applyNumberFormat="1"/>
    <xf borderId="0" fillId="0" fontId="1" numFmtId="9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1" fillId="0" fontId="5" numFmtId="3" xfId="0" applyAlignment="1" applyBorder="1" applyFont="1" applyNumberFormat="1">
      <alignment readingOrder="0"/>
    </xf>
    <xf borderId="1" fillId="0" fontId="5" numFmtId="164" xfId="0" applyBorder="1" applyFont="1" applyNumberFormat="1"/>
    <xf borderId="0" fillId="0" fontId="2" numFmtId="10" xfId="0" applyFont="1" applyNumberFormat="1"/>
    <xf borderId="1" fillId="0" fontId="5" numFmtId="164" xfId="0" applyAlignment="1" applyBorder="1" applyFont="1" applyNumberFormat="1">
      <alignment readingOrder="0"/>
    </xf>
    <xf borderId="1" fillId="0" fontId="5" numFmtId="3" xfId="0" applyBorder="1" applyFont="1" applyNumberFormat="1"/>
    <xf borderId="0" fillId="3" fontId="6" numFmtId="3" xfId="0" applyAlignment="1" applyFill="1" applyFont="1" applyNumberFormat="1">
      <alignment readingOrder="0"/>
    </xf>
    <xf borderId="0" fillId="3" fontId="6" numFmtId="164" xfId="0" applyAlignment="1" applyFill="1" applyFont="1" applyNumberFormat="1">
      <alignment readingOrder="0"/>
    </xf>
    <xf borderId="0" fillId="3" fontId="6" numFmtId="164" xfId="0" applyFill="1" applyFont="1" applyNumberFormat="1"/>
    <xf borderId="0" fillId="3" fontId="6" numFmtId="10" xfId="0" applyFill="1" applyFont="1" applyNumberFormat="1"/>
    <xf borderId="5" fillId="0" fontId="2" numFmtId="164" xfId="0" applyAlignment="1" applyBorder="1" applyFont="1" applyNumberFormat="1">
      <alignment horizontal="center" readingOrder="0"/>
    </xf>
    <xf borderId="6" fillId="0" fontId="3" numFmtId="0" xfId="0" applyBorder="1" applyFont="1"/>
    <xf borderId="7" fillId="0" fontId="3" numFmtId="0" xfId="0" applyBorder="1" applyFont="1"/>
    <xf borderId="1" fillId="3" fontId="2" numFmtId="164" xfId="0" applyBorder="1" applyFill="1" applyFont="1" applyNumberFormat="1"/>
    <xf borderId="1" fillId="2" fontId="7" numFmtId="0" xfId="0" applyAlignment="1" applyBorder="1" applyFill="1" applyFont="1">
      <alignment readingOrder="0"/>
    </xf>
    <xf borderId="1" fillId="2" fontId="7" numFmtId="164" xfId="0" applyBorder="1" applyFill="1" applyFont="1" applyNumberFormat="1"/>
    <xf borderId="8" fillId="4" fontId="8" numFmtId="0" xfId="0" applyAlignment="1" applyBorder="1" applyFill="1" applyFont="1">
      <alignment horizontal="center" readingOrder="0" vertical="bottom"/>
    </xf>
    <xf borderId="9" fillId="5" fontId="9" numFmtId="168" xfId="0" applyAlignment="1" applyBorder="1" applyFill="1" applyFont="1" applyNumberFormat="1">
      <alignment horizontal="left" readingOrder="0" vertical="bottom"/>
    </xf>
    <xf borderId="9" fillId="5" fontId="9" numFmtId="0" xfId="0" applyAlignment="1" applyBorder="1" applyFill="1" applyFont="1">
      <alignment horizontal="left" vertical="bottom"/>
    </xf>
    <xf borderId="9" fillId="5" fontId="9" numFmtId="0" xfId="0" applyAlignment="1" applyBorder="1" applyFill="1" applyFont="1">
      <alignment horizontal="left" readingOrder="0" vertical="bottom"/>
    </xf>
    <xf borderId="9" fillId="5" fontId="9" numFmtId="0" xfId="0" applyAlignment="1" applyBorder="1" applyFill="1" applyFont="1">
      <alignment horizontal="right" readingOrder="0" vertical="bottom"/>
    </xf>
    <xf borderId="9" fillId="6" fontId="9" numFmtId="168" xfId="0" applyAlignment="1" applyBorder="1" applyFill="1" applyFont="1" applyNumberFormat="1">
      <alignment horizontal="left" readingOrder="0" vertical="bottom"/>
    </xf>
    <xf borderId="9" fillId="6" fontId="9" numFmtId="0" xfId="0" applyAlignment="1" applyBorder="1" applyFill="1" applyFont="1">
      <alignment horizontal="left" vertical="bottom"/>
    </xf>
    <xf borderId="9" fillId="6" fontId="9" numFmtId="0" xfId="0" applyAlignment="1" applyBorder="1" applyFill="1" applyFont="1">
      <alignment horizontal="left" readingOrder="0" vertical="bottom"/>
    </xf>
    <xf borderId="9" fillId="6" fontId="9" numFmtId="0" xfId="0" applyAlignment="1" applyBorder="1" applyFill="1" applyFont="1">
      <alignment horizontal="right" readingOrder="0" vertical="bottom"/>
    </xf>
    <xf borderId="0" fillId="0" fontId="2" numFmtId="170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1" fillId="0" fontId="2" numFmtId="170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readingOrder="0"/>
    </xf>
    <xf borderId="0" fillId="0" fontId="2" numFmtId="168" xfId="0" applyAlignment="1" applyFont="1" applyNumberFormat="1">
      <alignment horizontal="center" readingOrder="0"/>
    </xf>
    <xf borderId="0" fillId="0" fontId="2" numFmtId="169" xfId="0" applyAlignment="1" applyFont="1" applyNumberFormat="1">
      <alignment readingOrder="0"/>
    </xf>
    <xf borderId="1" fillId="0" fontId="2" numFmtId="169" xfId="0" applyAlignment="1" applyBorder="1" applyFont="1" applyNumberFormat="1">
      <alignment readingOrder="0"/>
    </xf>
    <xf borderId="0" fillId="0" fontId="2" numFmtId="170" xfId="0" applyAlignment="1" applyFont="1" applyNumberFormat="1">
      <alignment horizontal="center"/>
    </xf>
    <xf borderId="0" fillId="0" fontId="10" numFmtId="170" xfId="0" applyAlignment="1" applyFont="1" applyNumberFormat="1">
      <alignment vertical="bottom"/>
    </xf>
    <xf borderId="0" fillId="0" fontId="10" numFmtId="0" xfId="0" applyAlignment="1" applyFont="1">
      <alignment readingOrder="0" vertical="bottom"/>
    </xf>
    <xf borderId="0" fillId="0" fontId="10" numFmtId="0" xfId="0" applyAlignment="1" applyFont="1">
      <alignment vertical="bottom"/>
    </xf>
    <xf borderId="0" fillId="0" fontId="10" numFmtId="164" xfId="0" applyAlignment="1" applyFont="1" applyNumberFormat="1">
      <alignment vertical="bottom"/>
    </xf>
    <xf borderId="0" fillId="0" fontId="2" numFmtId="171" xfId="0" applyFont="1" applyNumberFormat="1"/>
    <xf borderId="0" fillId="5" fontId="11" numFmtId="0" xfId="0" applyAlignment="1" applyFill="1" applyFont="1">
      <alignment horizontal="left" readingOrder="0"/>
    </xf>
    <xf borderId="1" fillId="0" fontId="2" numFmtId="171" xfId="0" applyAlignment="1" applyBorder="1" applyFont="1" applyNumberFormat="1">
      <alignment readingOrder="0"/>
    </xf>
    <xf borderId="0" fillId="0" fontId="2" numFmtId="171" xfId="0" applyAlignment="1" applyFont="1" applyNumberFormat="1">
      <alignment readingOrder="0"/>
    </xf>
    <xf borderId="0" fillId="0" fontId="2" numFmtId="168" xfId="0" applyAlignment="1" applyFont="1" applyNumberFormat="1">
      <alignment readingOrder="0"/>
    </xf>
    <xf borderId="1" fillId="0" fontId="2" numFmtId="170" xfId="0" applyAlignment="1" applyBorder="1" applyFont="1" applyNumberFormat="1">
      <alignment readingOrder="0"/>
    </xf>
    <xf borderId="1" fillId="0" fontId="2" numFmtId="170" xfId="0" applyBorder="1" applyFont="1" applyNumberFormat="1"/>
    <xf borderId="0" fillId="0" fontId="2" numFmtId="170" xfId="0" applyFont="1" applyNumberFormat="1"/>
    <xf borderId="1" fillId="2" fontId="12" numFmtId="0" xfId="0" applyAlignment="1" applyBorder="1" applyFill="1" applyFont="1">
      <alignment readingOrder="0"/>
    </xf>
    <xf borderId="1" fillId="2" fontId="12" numFmtId="0" xfId="0" applyBorder="1" applyFill="1" applyFont="1"/>
    <xf borderId="0" fillId="0" fontId="13" numFmtId="0" xfId="0" applyFont="1"/>
    <xf borderId="1" fillId="2" fontId="12" numFmtId="0" xfId="0" applyAlignment="1" applyBorder="1" applyFill="1" applyFont="1">
      <alignment horizontal="center" readingOrder="0"/>
    </xf>
    <xf borderId="1" fillId="2" fontId="12" numFmtId="165" xfId="0" applyAlignment="1" applyBorder="1" applyFill="1" applyFont="1" applyNumberFormat="1">
      <alignment readingOrder="0"/>
    </xf>
    <xf borderId="1" fillId="2" fontId="12" numFmtId="164" xfId="0" applyAlignment="1" applyBorder="1" applyFill="1" applyFont="1" applyNumberFormat="1">
      <alignment readingOrder="0"/>
    </xf>
    <xf borderId="1" fillId="2" fontId="14" numFmtId="0" xfId="0" applyAlignment="1" applyBorder="1" applyFill="1" applyFont="1">
      <alignment readingOrder="0"/>
    </xf>
    <xf borderId="1" fillId="2" fontId="14" numFmtId="164" xfId="0" applyAlignment="1" applyBorder="1" applyFill="1" applyFont="1" applyNumberFormat="1">
      <alignment readingOrder="0"/>
    </xf>
    <xf borderId="1" fillId="2" fontId="2" numFmtId="0" xfId="0" applyAlignment="1" applyBorder="1" applyFill="1" applyFont="1">
      <alignment readingOrder="0"/>
    </xf>
    <xf borderId="1" fillId="0" fontId="2" numFmtId="168" xfId="0" applyAlignment="1" applyBorder="1" applyFont="1" applyNumberFormat="1">
      <alignment readingOrder="0"/>
    </xf>
    <xf borderId="0" fillId="0" fontId="15" numFmtId="0" xfId="0" applyAlignment="1" applyFont="1">
      <alignment readingOrder="0" vertical="bottom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EA4335"/>
          <bgColor rgb="FFEA4335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ocumenttasks/documenttask7.xml><?xml version="1.0" encoding="utf-8"?>
<Tasks xmlns="http://schemas.microsoft.com/office/tasks/2019/documenttasks"/>
</file>

<file path=xl/documenttasks/documenttask8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kunal shah" id="{49233f83-20e0-49c5-b725-b1040d60ccaa}" providerId="google-sheets"/>
  <x18tc:person displayName="Dhruv Kansara" id="{ec730459-09b4-4f7f-94b8-e2dc7d0e21d6}" providerId="google-sheets"/>
  <x18tc:person displayName="Krutarth Shah" id="{2340a55a-a5bd-42dd-920b-44186d337c3f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4-11-18T06:01:53.00" personId="{2340a55a-a5bd-42dd-920b-44186d337c3f}" id="{8b49018c-93fe-4d09-9b38-9d5256f870a1}" done="0">
    <x18tc:text xml:space="preserve">Garbage</x18tc:text>
  </x18tc:threadedComment>
  <x18tc:threadedComment ref="B28" dT="2025-12-04T10:04:02.00" personId="{49233f83-20e0-49c5-b725-b1040d60ccaa}" id="{5d700d0e-d0c3-4895-a90f-a160a309d152}" done="0">
    <x18tc:text xml:space="preserve">Funding of $100,000. 25% Share is $25,000. So instead of taking $40,000 from Vijay share (5%) we took $15,000.</x18tc:text>
  </x18tc:threadedComment>
  <x18tc:threadedComment ref="B26" dT="2025-12-04T10:04:16.00" personId="{49233f83-20e0-49c5-b725-b1040d60ccaa}" id="{d075249a-b479-4692-82df-94a177ed7660}" done="0">
    <x18tc:text xml:space="preserve">Sold 10% share to Harshad</x18tc:text>
  </x18tc:threadedComment>
  <x18tc:threadedComment ref="E23" dT="2025-12-04T10:04:32.00" personId="{49233f83-20e0-49c5-b725-b1040d60ccaa}" id="{cadde9fe-49be-43b5-8c93-72deea41943b}" done="0">
    <x18tc:text xml:space="preserve">$100,000 funding call</x18tc:text>
  </x18tc:threadedComment>
  <x18tc:threadedComment ref="C27" dT="2025-12-04T10:03:50.00" personId="{49233f83-20e0-49c5-b725-b1040d60ccaa}" id="{cbb82d45-fe79-4eff-a5d8-46dd47bf8832}" done="0">
    <x18tc:text xml:space="preserve">Funding of $100,000. 25% Share is $25,000. So instead of taking $40,000 from Vijay share (5%) we took $15,000.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2" dT="2024-05-20T17:44:00.00" personId="{ec730459-09b4-4f7f-94b8-e2dc7d0e21d6}" id="{9fbc9b2e-529f-4d71-87da-4312c59834a1}" done="0">
    <x18tc:text xml:space="preserve">This is for 202 Armstrong</x18tc:text>
  </x18tc:threadedComment>
  <x18tc:threadedComment ref="C29" dT="2024-11-14T11:00:37.00" personId="{2340a55a-a5bd-42dd-920b-44186d337c3f}" id="{c0cedd66-7b59-4de6-8e37-53992d4f2aef}" done="0">
    <x18tc:text xml:space="preserve">No Packing Sign</x18tc:text>
  </x18tc:threadedComment>
  <x18tc:threadedComment ref="C34" dT="2024-11-14T11:20:05.00" personId="{2340a55a-a5bd-42dd-920b-44186d337c3f}" id="{142cf03a-dbd3-402f-9e37-fa318d3fc525}" done="0">
    <x18tc:text xml:space="preserve">Garbage</x18tc:text>
  </x18tc:threadedComment>
  <x18tc:threadedComment ref="C17" dT="2024-11-14T09:05:06.00" personId="{2340a55a-a5bd-42dd-920b-44186d337c3f}" id="{3ac3ce1a-02f3-4c29-8ead-76d83621965c}" done="0">
    <x18tc:text xml:space="preserve">No Packing Signs</x18tc:text>
  </x18tc:threadedComment>
  <x18tc:threadedComment ref="C18" dT="2024-11-14T09:06:01.00" personId="{2340a55a-a5bd-42dd-920b-44186d337c3f}" id="{a467bb6e-5eaa-4000-9771-24d3f95d3dcb}" done="0">
    <x18tc:text xml:space="preserve">Trash</x18tc:text>
  </x18tc:threadedComment>
  <x18tc:threadedComment ref="C19" dT="2024-11-14T09:06:42.00" personId="{2340a55a-a5bd-42dd-920b-44186d337c3f}" id="{af20a527-a1aa-447f-95a7-380424f86e58}" done="0">
    <x18tc:text xml:space="preserve">Trash</x18tc:text>
  </x18tc:threadedComment>
  <x18tc:threadedComment ref="C21" dT="2024-11-26T11:17:09.00" personId="{2340a55a-a5bd-42dd-920b-44186d337c3f}" id="{61b3b964-f7c1-42e5-803b-073d6a9634bc}" done="0">
    <x18tc:text xml:space="preserve">Trash</x18tc:text>
  </x18tc:threadedComment>
  <x18tc:threadedComment ref="C37" dT="2024-12-02T16:53:59.00" personId="{2340a55a-a5bd-42dd-920b-44186d337c3f}" id="{cc04a248-4880-42e6-be5b-1f12d25c782e}" done="0">
    <x18tc:text xml:space="preserve">No Packing Signs</x18tc:text>
  </x18tc:threadedComment>
  <x18tc:threadedComment ref="C42" dT="2024-12-25T18:47:40.00" personId="{2340a55a-a5bd-42dd-920b-44186d337c3f}" id="{27748c6b-2de4-4a2a-9d66-690a00989f63}" done="0">
    <x18tc:text xml:space="preserve">No Packing Sings</x18tc:text>
  </x18tc:threadedComment>
  <x18tc:threadedComment ref="C46" dT="2025-01-25T18:53:49.00" personId="{2340a55a-a5bd-42dd-920b-44186d337c3f}" id="{33c27921-8a10-4238-9e02-897971544814}" done="0">
    <x18tc:text xml:space="preserve">kunal Amex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44" dT="2024-11-26T10:59:44.00" personId="{2340a55a-a5bd-42dd-920b-44186d337c3f}" id="{ace6e171-e03e-40fd-8566-89a9d43efae0}" done="1">
    <x18tc:text xml:space="preserve">Labour as per kunal</x18tc:text>
  </x18tc:threadedComment>
  <x18tc:threadedComment ref="C76" dT="2024-12-25T18:40:52.00" personId="{2340a55a-a5bd-42dd-920b-44186d337c3f}" id="{8b3a0233-cb6c-43a6-9984-d45b21cc412c}" done="1">
    <x18tc:text xml:space="preserve">Marketing</x18tc:text>
  </x18tc:threadedComment>
  <x18tc:threadedComment ref="C88" dT="2025-01-14T12:20:34.00" personId="{2340a55a-a5bd-42dd-920b-44186d337c3f}" id="{b69437be-0a55-438d-9844-310c91cf0e8d}" done="1">
    <x18tc:text xml:space="preserve">Marketing</x18tc:text>
  </x18tc:threadedComment>
  <x18tc:threadedComment ref="C69" dT="2025-01-25T09:57:45.00" personId="{2340a55a-a5bd-42dd-920b-44186d337c3f}" id="{698f0e7c-3f36-4d6e-b252-3584ecfcc1e8}" done="1">
    <x18tc:text xml:space="preserve">210 Fulton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8" dT="2024-11-14T08:51:56.00" personId="{2340a55a-a5bd-42dd-920b-44186d337c3f}" id="{95281c7f-5a5c-47bf-b085-a0396a7ef798}" done="1">
    <x18tc:text xml:space="preserve">Check 2022</x18tc:text>
  </x18tc:threadedComment>
  <x18tc:threadedComment ref="B8" dT="2025-02-13T15:59:30.00" personId="{2340a55a-a5bd-42dd-920b-44186d337c3f}" id="{ff0059b1-2a77-4537-85e0-78d8f2c41ba9}" parentId="{95281c7f-5a5c-47bf-b085-a0396a7ef798}">
    <x18tc:text xml:space="preserve">Check 2022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8" dT="2024-11-26T10:55:18.00" personId="{2340a55a-a5bd-42dd-920b-44186d337c3f}" id="{0966421e-a886-4945-a0f2-4aceecda462c}" done="1">
    <x18tc:text xml:space="preserve">Expense CT Official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5" dT="2024-12-16T15:51:50.00" personId="{2340a55a-a5bd-42dd-920b-44186d337c3f}" id="{31b5ef2b-9dfb-4f25-9498-2200396bce86}" done="0">
    <x18tc:text xml:space="preserve">Broker fee</x18tc:text>
  </x18tc:threadedComment>
</x18tc:ThreadedComments>
</file>

<file path=xl/threadedComments/threadedComment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26" dT="2026-03-10T14:08:17.00" personId="{49233f83-20e0-49c5-b725-b1040d60ccaa}" id="{c3f655ac-4dbd-48c0-9595-99561871532d}" done="0">
    <x18tc:text xml:space="preserve">Includes final interest payment and late charges</x18tc:text>
  </x18tc:threadedComment>
</x18tc:ThreadedComments>
</file>

<file path=xl/threadedComments/threadedComment8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2" dT="2024-11-26T11:36:21.00" personId="{2340a55a-a5bd-42dd-920b-44186d337c3f}" id="{5fba1696-4231-4b7c-8878-6944fcf000f7}" done="0">
    <x18tc:text xml:space="preserve">Loan at 10% per annum October 1st between Kunal ,Harshad,Swekit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7.xml"/><Relationship Id="rId5" Type="http://schemas.openxmlformats.org/officeDocument/2006/relationships/vmlDrawing" Target="../drawings/vmlDrawing5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6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9.xml"/><Relationship Id="rId5" Type="http://schemas.openxmlformats.org/officeDocument/2006/relationships/vmlDrawing" Target="../drawings/vmlDrawing7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drawing" Target="../drawings/drawing10.xml"/><Relationship Id="rId5" Type="http://schemas.openxmlformats.org/officeDocument/2006/relationships/vmlDrawing" Target="../drawings/vmlDrawing8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microsoft.com/office/2017/10/relationships/threadedComment" Target="../threadedComments/threadedComment7.xml"/><Relationship Id="rId3" Type="http://schemas.microsoft.com/office/2019/04/relationships/documenttask" Target="../documenttasks/documenttask7.xml"/><Relationship Id="rId4" Type="http://schemas.openxmlformats.org/officeDocument/2006/relationships/drawing" Target="../drawings/drawing11.xml"/><Relationship Id="rId5" Type="http://schemas.openxmlformats.org/officeDocument/2006/relationships/vmlDrawing" Target="../drawings/vmlDrawing9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0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microsoft.com/office/2017/10/relationships/threadedComment" Target="../threadedComments/threadedComment8.xml"/><Relationship Id="rId3" Type="http://schemas.microsoft.com/office/2019/04/relationships/documenttask" Target="../documenttasks/documenttask8.xml"/><Relationship Id="rId4" Type="http://schemas.openxmlformats.org/officeDocument/2006/relationships/drawing" Target="../drawings/drawing13.xml"/><Relationship Id="rId5" Type="http://schemas.openxmlformats.org/officeDocument/2006/relationships/vmlDrawing" Target="../drawings/vmlDrawing11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1" max="11" width="18.63"/>
    <col customWidth="1" min="12" max="12" width="13.13"/>
    <col customWidth="1" min="22" max="22" width="27.13"/>
  </cols>
  <sheetData>
    <row r="1">
      <c r="A1" s="1"/>
      <c r="C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U1" s="2"/>
    </row>
    <row r="2">
      <c r="A2" s="3">
        <v>800000.0</v>
      </c>
      <c r="C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U2" s="2"/>
    </row>
    <row r="3">
      <c r="C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U3" s="2"/>
      <c r="W3" s="4">
        <v>650.0</v>
      </c>
    </row>
    <row r="4">
      <c r="C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U4" s="2"/>
      <c r="W4" s="4">
        <v>600.0</v>
      </c>
    </row>
    <row r="5">
      <c r="A5" s="5" t="s">
        <v>0</v>
      </c>
      <c r="B5" s="6">
        <v>0.1</v>
      </c>
      <c r="C5" s="7">
        <f>sum(A2*B5)</f>
        <v>80000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U5" s="2"/>
      <c r="W5" s="4">
        <v>50.0</v>
      </c>
    </row>
    <row r="6">
      <c r="A6" s="5" t="s">
        <v>1</v>
      </c>
      <c r="B6" s="6">
        <v>0.1</v>
      </c>
      <c r="C6" s="7">
        <f>sum(A2*B6)</f>
        <v>80000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U6" s="2"/>
    </row>
    <row r="7">
      <c r="A7" s="5" t="s">
        <v>2</v>
      </c>
      <c r="B7" s="6">
        <v>0.45</v>
      </c>
      <c r="C7" s="7">
        <f>sum(A2*B7)</f>
        <v>360000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U7" s="2"/>
    </row>
    <row r="8">
      <c r="A8" s="5" t="s">
        <v>3</v>
      </c>
      <c r="B8" s="6">
        <v>0.15</v>
      </c>
      <c r="C8" s="7">
        <f>sum(A2*B8)</f>
        <v>120000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U8" s="2"/>
    </row>
    <row r="9">
      <c r="A9" s="5" t="s">
        <v>4</v>
      </c>
      <c r="B9" s="6">
        <v>0.1</v>
      </c>
      <c r="C9" s="7">
        <f>B9*A2</f>
        <v>80000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U9" s="2"/>
    </row>
    <row r="10">
      <c r="A10" s="5" t="s">
        <v>5</v>
      </c>
      <c r="B10" s="6">
        <v>0.1</v>
      </c>
      <c r="C10" s="8">
        <v>80000.0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U10" s="2"/>
    </row>
    <row r="11">
      <c r="A11" s="9"/>
      <c r="B11" s="10">
        <f>SUM(B5:B10)</f>
        <v>1</v>
      </c>
      <c r="C11" s="8">
        <v>800000.0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U11" s="2"/>
    </row>
    <row r="12">
      <c r="C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11"/>
      <c r="T12" s="11">
        <v>45236.0</v>
      </c>
      <c r="U12" s="12">
        <v>350000.0</v>
      </c>
      <c r="V12" s="4" t="s">
        <v>6</v>
      </c>
      <c r="W12" s="13"/>
    </row>
    <row r="13">
      <c r="C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14"/>
      <c r="T13" s="14">
        <v>45301.0</v>
      </c>
      <c r="U13" s="12">
        <v>175000.0</v>
      </c>
      <c r="V13" s="4" t="s">
        <v>6</v>
      </c>
    </row>
    <row r="14">
      <c r="C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U14" s="2"/>
    </row>
    <row r="15">
      <c r="C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U15" s="2"/>
    </row>
    <row r="16">
      <c r="A16" s="15" t="s">
        <v>7</v>
      </c>
      <c r="B16" s="16"/>
      <c r="C16" s="16"/>
      <c r="D16" s="4" t="s">
        <v>8</v>
      </c>
      <c r="F16" s="2"/>
    </row>
    <row r="17">
      <c r="A17" s="17"/>
      <c r="B17" s="18" t="s">
        <v>0</v>
      </c>
      <c r="C17" s="18" t="s">
        <v>1</v>
      </c>
      <c r="D17" s="18" t="s">
        <v>2</v>
      </c>
      <c r="E17" s="18" t="s">
        <v>3</v>
      </c>
      <c r="F17" s="18" t="s">
        <v>4</v>
      </c>
      <c r="G17" s="18" t="s">
        <v>5</v>
      </c>
      <c r="H17" s="16"/>
      <c r="I17" s="16"/>
      <c r="L17" s="2"/>
    </row>
    <row r="18">
      <c r="A18" s="19">
        <v>45236.0</v>
      </c>
      <c r="B18" s="8">
        <v>0.0</v>
      </c>
      <c r="C18" s="8">
        <v>0.0</v>
      </c>
      <c r="D18" s="8">
        <v>0.0</v>
      </c>
      <c r="E18" s="7"/>
      <c r="F18" s="7"/>
      <c r="G18" s="7"/>
      <c r="H18" s="2"/>
      <c r="I18" s="2"/>
      <c r="L18" s="2"/>
      <c r="M18" s="20">
        <f>350000/3</f>
        <v>116666.6667</v>
      </c>
      <c r="P18" s="12">
        <v>3100000.0</v>
      </c>
      <c r="Q18" s="4" t="s">
        <v>9</v>
      </c>
    </row>
    <row r="19">
      <c r="A19" s="19">
        <v>45295.0</v>
      </c>
      <c r="B19" s="8"/>
      <c r="C19" s="8">
        <v>0.0</v>
      </c>
      <c r="D19" s="8"/>
      <c r="E19" s="8">
        <v>75000.0</v>
      </c>
      <c r="F19" s="7"/>
      <c r="G19" s="7"/>
      <c r="H19" s="2"/>
      <c r="I19" s="2"/>
      <c r="L19" s="2"/>
      <c r="P19" s="12">
        <v>375000.0</v>
      </c>
      <c r="Q19" s="4" t="s">
        <v>10</v>
      </c>
    </row>
    <row r="20">
      <c r="A20" s="19">
        <v>45296.0</v>
      </c>
      <c r="B20" s="8"/>
      <c r="C20" s="8"/>
      <c r="D20" s="8"/>
      <c r="E20" s="7"/>
      <c r="F20" s="8">
        <v>50000.0</v>
      </c>
      <c r="G20" s="7"/>
      <c r="H20" s="2"/>
      <c r="I20" s="2"/>
      <c r="L20" s="2"/>
      <c r="P20" s="12">
        <v>700000.0</v>
      </c>
      <c r="Q20" s="4" t="s">
        <v>11</v>
      </c>
    </row>
    <row r="21">
      <c r="A21" s="19">
        <v>45301.0</v>
      </c>
      <c r="B21" s="8">
        <v>0.0</v>
      </c>
      <c r="C21" s="8">
        <v>0.0</v>
      </c>
      <c r="D21" s="8">
        <v>0.0</v>
      </c>
      <c r="E21" s="8">
        <v>30000.0</v>
      </c>
      <c r="F21" s="8">
        <v>20000.0</v>
      </c>
      <c r="G21" s="8"/>
      <c r="H21" s="12"/>
      <c r="I21" s="12"/>
      <c r="L21" s="2"/>
      <c r="P21" s="2">
        <f>P18*0.05</f>
        <v>155000</v>
      </c>
      <c r="Q21" s="4" t="s">
        <v>12</v>
      </c>
    </row>
    <row r="22">
      <c r="A22" s="21">
        <v>45918.0</v>
      </c>
      <c r="B22" s="8"/>
      <c r="C22" s="7"/>
      <c r="D22" s="8"/>
      <c r="E22" s="8"/>
      <c r="F22" s="7"/>
      <c r="G22" s="8">
        <v>80000.0</v>
      </c>
      <c r="H22" s="12"/>
      <c r="I22" s="12"/>
      <c r="L22" s="2"/>
      <c r="P22" s="2"/>
    </row>
    <row r="23">
      <c r="A23" s="21">
        <v>45558.0</v>
      </c>
      <c r="B23" s="8"/>
      <c r="C23" s="7"/>
      <c r="D23" s="8"/>
      <c r="E23" s="8">
        <v>15000.0</v>
      </c>
      <c r="F23" s="7"/>
      <c r="G23" s="8"/>
      <c r="H23" s="12"/>
      <c r="I23" s="12"/>
      <c r="J23" s="20">
        <f>175*3</f>
        <v>525</v>
      </c>
      <c r="L23" s="2"/>
      <c r="P23" s="12">
        <v>90000.0</v>
      </c>
      <c r="Q23" s="4" t="s">
        <v>13</v>
      </c>
    </row>
    <row r="24">
      <c r="A24" s="19">
        <v>45930.0</v>
      </c>
      <c r="B24" s="7"/>
      <c r="C24" s="7"/>
      <c r="D24" s="8">
        <v>525000.0</v>
      </c>
      <c r="E24" s="7"/>
      <c r="F24" s="7"/>
      <c r="G24" s="7"/>
      <c r="H24" s="2"/>
      <c r="I24" s="2"/>
      <c r="K24" s="20">
        <f>800*0.75</f>
        <v>600</v>
      </c>
      <c r="L24" s="2"/>
      <c r="P24" s="2"/>
    </row>
    <row r="25">
      <c r="A25" s="19">
        <v>45566.0</v>
      </c>
      <c r="B25" s="8"/>
      <c r="C25" s="8"/>
      <c r="D25" s="8">
        <v>25000.0</v>
      </c>
      <c r="E25" s="7"/>
      <c r="F25" s="7"/>
      <c r="G25" s="7"/>
      <c r="H25" s="2"/>
      <c r="I25" s="2"/>
      <c r="L25" s="2"/>
      <c r="P25" s="2"/>
    </row>
    <row r="26" ht="16.5" customHeight="1">
      <c r="A26" s="19">
        <v>45567.0</v>
      </c>
      <c r="B26" s="8">
        <v>-80000.0</v>
      </c>
      <c r="C26" s="8">
        <v>-80000.0</v>
      </c>
      <c r="D26" s="8">
        <v>160000.0</v>
      </c>
      <c r="E26" s="7"/>
      <c r="F26" s="7"/>
      <c r="G26" s="7"/>
      <c r="H26" s="2"/>
      <c r="I26" s="2"/>
      <c r="K26" s="4" t="s">
        <v>14</v>
      </c>
      <c r="L26" s="2"/>
      <c r="P26" s="2"/>
    </row>
    <row r="27">
      <c r="A27" s="19">
        <v>45644.0</v>
      </c>
      <c r="B27" s="7"/>
      <c r="C27" s="8">
        <v>-15000.0</v>
      </c>
      <c r="D27" s="8"/>
      <c r="E27" s="7"/>
      <c r="F27" s="7"/>
      <c r="G27" s="7"/>
      <c r="H27" s="2"/>
      <c r="I27" s="2"/>
      <c r="K27" s="20">
        <f>700*0.75</f>
        <v>525</v>
      </c>
      <c r="L27" s="2"/>
      <c r="P27" s="2"/>
    </row>
    <row r="28">
      <c r="A28" s="19">
        <v>45650.0</v>
      </c>
      <c r="B28" s="8">
        <v>-15000.0</v>
      </c>
      <c r="C28" s="8"/>
      <c r="D28" s="8"/>
      <c r="E28" s="7"/>
      <c r="F28" s="7"/>
      <c r="G28" s="7"/>
      <c r="H28" s="2"/>
      <c r="I28" s="2"/>
      <c r="L28" s="2"/>
      <c r="P28" s="2"/>
    </row>
    <row r="29">
      <c r="A29" s="19">
        <v>45684.0</v>
      </c>
      <c r="B29" s="8">
        <v>0.0</v>
      </c>
      <c r="C29" s="8"/>
      <c r="D29" s="8"/>
      <c r="E29" s="7"/>
      <c r="F29" s="7"/>
      <c r="G29" s="7"/>
      <c r="H29" s="2"/>
      <c r="I29" s="2"/>
      <c r="J29" s="20">
        <f>800*0.45</f>
        <v>360</v>
      </c>
      <c r="L29" s="2"/>
      <c r="P29" s="2"/>
    </row>
    <row r="30">
      <c r="A30" s="19">
        <v>45992.0</v>
      </c>
      <c r="B30" s="8">
        <v>20000.0</v>
      </c>
      <c r="C30" s="8"/>
      <c r="D30" s="8"/>
      <c r="E30" s="7"/>
      <c r="F30" s="7"/>
      <c r="G30" s="7"/>
      <c r="H30" s="2"/>
      <c r="I30" s="2"/>
      <c r="L30" s="2"/>
      <c r="P30" s="2"/>
    </row>
    <row r="31">
      <c r="A31" s="19">
        <v>46083.0</v>
      </c>
      <c r="B31" s="8"/>
      <c r="C31" s="8"/>
      <c r="D31" s="8"/>
      <c r="E31" s="7"/>
      <c r="F31" s="8">
        <v>10000.0</v>
      </c>
      <c r="G31" s="7"/>
      <c r="H31" s="2"/>
      <c r="I31" s="2"/>
      <c r="L31" s="2"/>
      <c r="P31" s="2"/>
    </row>
    <row r="32">
      <c r="A32" s="19">
        <v>46083.0</v>
      </c>
      <c r="B32" s="8">
        <v>-20000.0</v>
      </c>
      <c r="C32" s="8"/>
      <c r="D32" s="8"/>
      <c r="E32" s="7"/>
      <c r="F32" s="8"/>
      <c r="G32" s="7"/>
      <c r="H32" s="2"/>
      <c r="I32" s="2"/>
      <c r="L32" s="2"/>
      <c r="P32" s="2"/>
    </row>
    <row r="33">
      <c r="A33" s="19">
        <v>46093.0</v>
      </c>
      <c r="B33" s="8">
        <v>-80000.0</v>
      </c>
      <c r="C33" s="8">
        <v>-80000.0</v>
      </c>
      <c r="D33" s="8"/>
      <c r="E33" s="7"/>
      <c r="F33" s="8"/>
      <c r="G33" s="7"/>
      <c r="H33" s="2"/>
      <c r="I33" s="2"/>
      <c r="L33" s="2"/>
      <c r="P33" s="2"/>
    </row>
    <row r="34">
      <c r="A34" s="19">
        <v>46111.0</v>
      </c>
      <c r="B34" s="8"/>
      <c r="C34" s="8"/>
      <c r="D34" s="8">
        <v>-525000.0</v>
      </c>
      <c r="E34" s="7"/>
      <c r="F34" s="8"/>
      <c r="G34" s="7"/>
      <c r="H34" s="2"/>
      <c r="I34" s="2"/>
      <c r="L34" s="2"/>
      <c r="P34" s="2"/>
    </row>
    <row r="35">
      <c r="A35" s="19">
        <v>46115.0</v>
      </c>
      <c r="B35" s="8"/>
      <c r="C35" s="8"/>
      <c r="D35" s="8"/>
      <c r="E35" s="8">
        <v>-120000.0</v>
      </c>
      <c r="F35" s="8">
        <v>-80000.0</v>
      </c>
      <c r="G35" s="7"/>
      <c r="H35" s="2"/>
      <c r="I35" s="2"/>
      <c r="L35" s="2"/>
      <c r="P35" s="2"/>
    </row>
    <row r="36">
      <c r="A36" s="19">
        <v>46118.0</v>
      </c>
      <c r="B36" s="8"/>
      <c r="C36" s="8"/>
      <c r="D36" s="8"/>
      <c r="E36" s="8"/>
      <c r="F36" s="8">
        <v>80000.0</v>
      </c>
      <c r="G36" s="7"/>
      <c r="H36" s="2"/>
      <c r="I36" s="2"/>
      <c r="L36" s="2"/>
      <c r="P36" s="2"/>
    </row>
    <row r="37">
      <c r="A37" s="19">
        <v>46119.0</v>
      </c>
      <c r="B37" s="8">
        <v>80000.0</v>
      </c>
      <c r="C37" s="8"/>
      <c r="D37" s="8"/>
      <c r="E37" s="8"/>
      <c r="F37" s="8"/>
      <c r="G37" s="7"/>
      <c r="H37" s="2"/>
      <c r="I37" s="2"/>
      <c r="L37" s="2"/>
      <c r="P37" s="2"/>
    </row>
    <row r="38">
      <c r="A38" s="19">
        <v>46120.0</v>
      </c>
      <c r="B38" s="8"/>
      <c r="C38" s="8"/>
      <c r="D38" s="8">
        <v>-160000.0</v>
      </c>
      <c r="E38" s="8"/>
      <c r="F38" s="8"/>
      <c r="G38" s="7"/>
      <c r="H38" s="2"/>
      <c r="I38" s="2"/>
      <c r="L38" s="2"/>
      <c r="P38" s="2"/>
    </row>
    <row r="39">
      <c r="A39" s="19">
        <v>46134.0</v>
      </c>
      <c r="B39" s="8"/>
      <c r="C39" s="8"/>
      <c r="D39" s="8">
        <v>-112500.0</v>
      </c>
      <c r="E39" s="8"/>
      <c r="F39" s="8"/>
      <c r="G39" s="7"/>
      <c r="H39" s="2"/>
      <c r="I39" s="2"/>
      <c r="L39" s="2"/>
      <c r="P39" s="2"/>
    </row>
    <row r="40">
      <c r="A40" s="19">
        <v>46136.0</v>
      </c>
      <c r="B40" s="8"/>
      <c r="C40" s="8"/>
      <c r="D40" s="8"/>
      <c r="E40" s="8"/>
      <c r="F40" s="8">
        <v>25000.0</v>
      </c>
      <c r="G40" s="7"/>
      <c r="H40" s="2"/>
      <c r="I40" s="2"/>
      <c r="L40" s="2"/>
      <c r="P40" s="2"/>
    </row>
    <row r="41">
      <c r="A41" s="19">
        <v>46209.0</v>
      </c>
      <c r="B41" s="8"/>
      <c r="C41" s="8"/>
      <c r="D41" s="8"/>
      <c r="E41" s="8">
        <v>-29526.34</v>
      </c>
      <c r="F41" s="8">
        <v>-19684.23</v>
      </c>
      <c r="G41" s="7"/>
      <c r="H41" s="2"/>
      <c r="I41" s="2"/>
      <c r="L41" s="2"/>
      <c r="P41" s="2"/>
    </row>
    <row r="42">
      <c r="A42" s="19">
        <v>46211.0</v>
      </c>
      <c r="B42" s="8"/>
      <c r="C42" s="8">
        <v>30000.0</v>
      </c>
      <c r="D42" s="8"/>
      <c r="E42" s="8"/>
      <c r="F42" s="8"/>
      <c r="G42" s="7"/>
      <c r="H42" s="2"/>
      <c r="I42" s="2"/>
      <c r="L42" s="2"/>
      <c r="P42" s="2"/>
    </row>
    <row r="43">
      <c r="A43" s="19">
        <v>46268.0</v>
      </c>
      <c r="B43" s="8">
        <v>100000.0</v>
      </c>
      <c r="C43" s="8"/>
      <c r="D43" s="8"/>
      <c r="E43" s="8"/>
      <c r="F43" s="8"/>
      <c r="G43" s="7"/>
      <c r="H43" s="2"/>
      <c r="I43" s="2"/>
      <c r="L43" s="2"/>
      <c r="P43" s="2"/>
    </row>
    <row r="44">
      <c r="A44" s="22" t="s">
        <v>15</v>
      </c>
      <c r="B44" s="7">
        <f>sum(B18:B43)</f>
        <v>5000</v>
      </c>
      <c r="C44" s="7">
        <f>sum(C18:C42)</f>
        <v>-145000</v>
      </c>
      <c r="D44" s="7">
        <f>sum(D18:D39)</f>
        <v>-87500</v>
      </c>
      <c r="E44" s="7">
        <f t="shared" ref="E44:F44" si="1">sum(E18:E41)</f>
        <v>-29526.34</v>
      </c>
      <c r="F44" s="7">
        <f t="shared" si="1"/>
        <v>85315.77</v>
      </c>
      <c r="G44" s="7">
        <f>sum(G18:G23)</f>
        <v>80000</v>
      </c>
      <c r="H44" s="2"/>
      <c r="I44" s="2">
        <f>SUM(B44:G44)</f>
        <v>-91710.57</v>
      </c>
      <c r="L44" s="2"/>
      <c r="P44" s="2"/>
    </row>
    <row r="45">
      <c r="A45" s="22" t="s">
        <v>16</v>
      </c>
      <c r="B45" s="7">
        <f>C5-B44</f>
        <v>75000</v>
      </c>
      <c r="C45" s="7">
        <f>C6-C44-80000</f>
        <v>145000</v>
      </c>
      <c r="D45" s="7">
        <f>C7-D44</f>
        <v>447500</v>
      </c>
      <c r="E45" s="7"/>
      <c r="F45" s="7"/>
      <c r="G45" s="8">
        <f>C10-G44</f>
        <v>0</v>
      </c>
      <c r="H45" s="12"/>
      <c r="I45" s="12"/>
      <c r="L45" s="2"/>
      <c r="P45" s="2"/>
    </row>
    <row r="46">
      <c r="A46" s="2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4"/>
      <c r="Q46" s="2"/>
      <c r="R46" s="2"/>
      <c r="U46" s="2"/>
    </row>
    <row r="47">
      <c r="A47" s="2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U47" s="2"/>
    </row>
    <row r="48">
      <c r="A48" s="2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U48" s="2"/>
    </row>
    <row r="49">
      <c r="A49" s="2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U49" s="2"/>
    </row>
    <row r="50">
      <c r="A50" s="2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U50" s="2"/>
    </row>
    <row r="51">
      <c r="C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U51" s="2"/>
    </row>
    <row r="52">
      <c r="C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U52" s="2"/>
    </row>
    <row r="53">
      <c r="C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U53" s="2"/>
    </row>
    <row r="54">
      <c r="C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U54" s="2"/>
    </row>
    <row r="55">
      <c r="C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U55" s="2"/>
    </row>
    <row r="56">
      <c r="C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U56" s="2"/>
    </row>
    <row r="57">
      <c r="C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U57" s="2"/>
    </row>
    <row r="58">
      <c r="C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U58" s="2"/>
    </row>
    <row r="59">
      <c r="C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U59" s="2"/>
    </row>
    <row r="60">
      <c r="C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U60" s="2"/>
    </row>
    <row r="61">
      <c r="C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U61" s="2"/>
    </row>
    <row r="62">
      <c r="C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U62" s="2"/>
    </row>
    <row r="63">
      <c r="C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U63" s="2"/>
    </row>
    <row r="64">
      <c r="C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U64" s="2"/>
    </row>
    <row r="65">
      <c r="C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U65" s="2"/>
    </row>
    <row r="66">
      <c r="C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U66" s="2"/>
    </row>
    <row r="67">
      <c r="C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U67" s="2"/>
    </row>
    <row r="68">
      <c r="C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U68" s="2"/>
    </row>
    <row r="69">
      <c r="C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U69" s="2"/>
    </row>
    <row r="70">
      <c r="C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U70" s="2"/>
    </row>
    <row r="71">
      <c r="C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U71" s="2"/>
    </row>
    <row r="72">
      <c r="C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U72" s="2"/>
    </row>
    <row r="73">
      <c r="C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U73" s="2"/>
    </row>
    <row r="74">
      <c r="C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U74" s="2"/>
    </row>
    <row r="75">
      <c r="C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U75" s="2"/>
    </row>
    <row r="76">
      <c r="C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U76" s="2"/>
    </row>
    <row r="77">
      <c r="C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U77" s="2"/>
    </row>
    <row r="78">
      <c r="C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U78" s="2"/>
    </row>
    <row r="79">
      <c r="C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U79" s="2"/>
    </row>
    <row r="80">
      <c r="C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U80" s="2"/>
    </row>
    <row r="81">
      <c r="C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U81" s="2"/>
    </row>
    <row r="82">
      <c r="C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U82" s="2"/>
    </row>
    <row r="83">
      <c r="C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U83" s="2"/>
    </row>
    <row r="84">
      <c r="C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U84" s="2"/>
    </row>
    <row r="85">
      <c r="C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U85" s="2"/>
    </row>
    <row r="86">
      <c r="C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U86" s="2"/>
    </row>
    <row r="87">
      <c r="C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U87" s="2"/>
    </row>
    <row r="88">
      <c r="C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U88" s="2"/>
    </row>
    <row r="89">
      <c r="C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U89" s="2"/>
    </row>
    <row r="90">
      <c r="C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U90" s="2"/>
    </row>
    <row r="91">
      <c r="C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U91" s="2"/>
    </row>
    <row r="92">
      <c r="C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U92" s="2"/>
    </row>
    <row r="93">
      <c r="C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U93" s="2"/>
    </row>
    <row r="94">
      <c r="C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U94" s="2"/>
    </row>
    <row r="95">
      <c r="C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U95" s="2"/>
    </row>
    <row r="96">
      <c r="C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U96" s="2"/>
    </row>
    <row r="97">
      <c r="C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U97" s="2"/>
    </row>
    <row r="98">
      <c r="C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U98" s="2"/>
    </row>
    <row r="99">
      <c r="C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U99" s="2"/>
    </row>
    <row r="100">
      <c r="C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U100" s="2"/>
    </row>
    <row r="101">
      <c r="C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U101" s="2"/>
    </row>
    <row r="102">
      <c r="C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U102" s="2"/>
    </row>
    <row r="103">
      <c r="C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U103" s="2"/>
    </row>
    <row r="104">
      <c r="C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U104" s="2"/>
    </row>
    <row r="105">
      <c r="C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U105" s="2"/>
    </row>
    <row r="106">
      <c r="C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U106" s="2"/>
    </row>
    <row r="107">
      <c r="C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U107" s="2"/>
    </row>
    <row r="108">
      <c r="C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U108" s="2"/>
    </row>
    <row r="109">
      <c r="C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U109" s="2"/>
    </row>
    <row r="110">
      <c r="C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U110" s="2"/>
    </row>
    <row r="111">
      <c r="C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U111" s="2"/>
    </row>
    <row r="112">
      <c r="C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U112" s="2"/>
    </row>
    <row r="113">
      <c r="C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U113" s="2"/>
    </row>
    <row r="114">
      <c r="C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U114" s="2"/>
    </row>
    <row r="115">
      <c r="C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U115" s="2"/>
    </row>
    <row r="116">
      <c r="C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U116" s="2"/>
    </row>
    <row r="117">
      <c r="C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U117" s="2"/>
    </row>
    <row r="118">
      <c r="C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U118" s="2"/>
    </row>
    <row r="119">
      <c r="C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U119" s="2"/>
    </row>
    <row r="120">
      <c r="C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U120" s="2"/>
    </row>
    <row r="121">
      <c r="C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U121" s="2"/>
    </row>
    <row r="122">
      <c r="C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U122" s="2"/>
    </row>
    <row r="123">
      <c r="C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U123" s="2"/>
    </row>
    <row r="124">
      <c r="C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U124" s="2"/>
    </row>
    <row r="125">
      <c r="C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U125" s="2"/>
    </row>
    <row r="126">
      <c r="C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U126" s="2"/>
    </row>
    <row r="127">
      <c r="C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U127" s="2"/>
    </row>
    <row r="128">
      <c r="C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U128" s="2"/>
    </row>
    <row r="129">
      <c r="C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U129" s="2"/>
    </row>
    <row r="130">
      <c r="C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U130" s="2"/>
    </row>
    <row r="131">
      <c r="C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U131" s="2"/>
    </row>
    <row r="132">
      <c r="C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U132" s="2"/>
    </row>
    <row r="133">
      <c r="C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U133" s="2"/>
    </row>
    <row r="134">
      <c r="C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U134" s="2"/>
    </row>
    <row r="135">
      <c r="C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U135" s="2"/>
    </row>
    <row r="136">
      <c r="C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U136" s="2"/>
    </row>
    <row r="137">
      <c r="C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U137" s="2"/>
    </row>
    <row r="138">
      <c r="C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U138" s="2"/>
    </row>
    <row r="139">
      <c r="C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U139" s="2"/>
    </row>
    <row r="140">
      <c r="C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U140" s="2"/>
    </row>
    <row r="141">
      <c r="C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U141" s="2"/>
    </row>
    <row r="142">
      <c r="C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U142" s="2"/>
    </row>
    <row r="143">
      <c r="C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U143" s="2"/>
    </row>
    <row r="144">
      <c r="C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U144" s="2"/>
    </row>
    <row r="145">
      <c r="C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U145" s="2"/>
    </row>
    <row r="146">
      <c r="C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U146" s="2"/>
    </row>
    <row r="147">
      <c r="C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U147" s="2"/>
    </row>
    <row r="148">
      <c r="C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U148" s="2"/>
    </row>
    <row r="149">
      <c r="C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U149" s="2"/>
    </row>
    <row r="150">
      <c r="C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U150" s="2"/>
    </row>
    <row r="151">
      <c r="C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U151" s="2"/>
    </row>
    <row r="152">
      <c r="C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U152" s="2"/>
    </row>
    <row r="153">
      <c r="C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U153" s="2"/>
    </row>
    <row r="154">
      <c r="C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U154" s="2"/>
    </row>
    <row r="155">
      <c r="C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U155" s="2"/>
    </row>
    <row r="156">
      <c r="C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U156" s="2"/>
    </row>
    <row r="157">
      <c r="C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U157" s="2"/>
    </row>
    <row r="158">
      <c r="C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U158" s="2"/>
    </row>
    <row r="159">
      <c r="C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U159" s="2"/>
    </row>
    <row r="160">
      <c r="C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U160" s="2"/>
    </row>
    <row r="161">
      <c r="C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U161" s="2"/>
    </row>
    <row r="162">
      <c r="C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U162" s="2"/>
    </row>
    <row r="163">
      <c r="C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U163" s="2"/>
    </row>
    <row r="164">
      <c r="C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U164" s="2"/>
    </row>
    <row r="165">
      <c r="C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U165" s="2"/>
    </row>
    <row r="166">
      <c r="C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U166" s="2"/>
    </row>
    <row r="167">
      <c r="C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U167" s="2"/>
    </row>
    <row r="168">
      <c r="C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U168" s="2"/>
    </row>
    <row r="169">
      <c r="C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U169" s="2"/>
    </row>
    <row r="170">
      <c r="C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U170" s="2"/>
    </row>
    <row r="171">
      <c r="C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U171" s="2"/>
    </row>
    <row r="172">
      <c r="C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U172" s="2"/>
    </row>
    <row r="173">
      <c r="C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U173" s="2"/>
    </row>
    <row r="174">
      <c r="C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U174" s="2"/>
    </row>
    <row r="175">
      <c r="C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U175" s="2"/>
    </row>
    <row r="176">
      <c r="C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U176" s="2"/>
    </row>
    <row r="177">
      <c r="C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U177" s="2"/>
    </row>
    <row r="178">
      <c r="C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U178" s="2"/>
    </row>
    <row r="179">
      <c r="C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U179" s="2"/>
    </row>
    <row r="180">
      <c r="C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U180" s="2"/>
    </row>
    <row r="181">
      <c r="C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U181" s="2"/>
    </row>
    <row r="182">
      <c r="C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U182" s="2"/>
    </row>
    <row r="183">
      <c r="C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U183" s="2"/>
    </row>
    <row r="184">
      <c r="C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U184" s="2"/>
    </row>
    <row r="185">
      <c r="C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U185" s="2"/>
    </row>
    <row r="186">
      <c r="C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U186" s="2"/>
    </row>
    <row r="187">
      <c r="C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U187" s="2"/>
    </row>
    <row r="188">
      <c r="C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U188" s="2"/>
    </row>
    <row r="189">
      <c r="C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U189" s="2"/>
    </row>
    <row r="190">
      <c r="C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U190" s="2"/>
    </row>
    <row r="191">
      <c r="C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U191" s="2"/>
    </row>
    <row r="192">
      <c r="C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U192" s="2"/>
    </row>
    <row r="193">
      <c r="C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U193" s="2"/>
    </row>
    <row r="194">
      <c r="C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U194" s="2"/>
    </row>
    <row r="195">
      <c r="C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U195" s="2"/>
    </row>
    <row r="196">
      <c r="C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U196" s="2"/>
    </row>
    <row r="197">
      <c r="C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U197" s="2"/>
    </row>
    <row r="198">
      <c r="C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U198" s="2"/>
    </row>
    <row r="199">
      <c r="C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U199" s="2"/>
    </row>
    <row r="200">
      <c r="C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U200" s="2"/>
    </row>
    <row r="201">
      <c r="C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U201" s="2"/>
    </row>
    <row r="202">
      <c r="C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U202" s="2"/>
    </row>
    <row r="203">
      <c r="C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U203" s="2"/>
    </row>
    <row r="204">
      <c r="C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U204" s="2"/>
    </row>
    <row r="205">
      <c r="C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U205" s="2"/>
    </row>
    <row r="206">
      <c r="C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U206" s="2"/>
    </row>
    <row r="207">
      <c r="C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U207" s="2"/>
    </row>
    <row r="208">
      <c r="C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U208" s="2"/>
    </row>
    <row r="209">
      <c r="C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U209" s="2"/>
    </row>
    <row r="210">
      <c r="C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U210" s="2"/>
    </row>
    <row r="211">
      <c r="C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U211" s="2"/>
    </row>
    <row r="212">
      <c r="C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U212" s="2"/>
    </row>
    <row r="213">
      <c r="C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U213" s="2"/>
    </row>
    <row r="214">
      <c r="C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U214" s="2"/>
    </row>
    <row r="215">
      <c r="C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U215" s="2"/>
    </row>
    <row r="216">
      <c r="C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U216" s="2"/>
    </row>
    <row r="217">
      <c r="C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U217" s="2"/>
    </row>
    <row r="218">
      <c r="C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U218" s="2"/>
    </row>
    <row r="219">
      <c r="C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U219" s="2"/>
    </row>
    <row r="220">
      <c r="C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U220" s="2"/>
    </row>
    <row r="221">
      <c r="C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U221" s="2"/>
    </row>
    <row r="222">
      <c r="C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U222" s="2"/>
    </row>
    <row r="223">
      <c r="C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U223" s="2"/>
    </row>
    <row r="224">
      <c r="C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U224" s="2"/>
    </row>
    <row r="225">
      <c r="C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U225" s="2"/>
    </row>
    <row r="226">
      <c r="C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U226" s="2"/>
    </row>
    <row r="227">
      <c r="C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U227" s="2"/>
    </row>
    <row r="228">
      <c r="C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U228" s="2"/>
    </row>
    <row r="229">
      <c r="C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U229" s="2"/>
    </row>
    <row r="230">
      <c r="C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U230" s="2"/>
    </row>
    <row r="231">
      <c r="C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U231" s="2"/>
    </row>
    <row r="232">
      <c r="C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U232" s="2"/>
    </row>
    <row r="233">
      <c r="C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U233" s="2"/>
    </row>
    <row r="234">
      <c r="C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U234" s="2"/>
    </row>
    <row r="235">
      <c r="C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U235" s="2"/>
    </row>
    <row r="236">
      <c r="C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U236" s="2"/>
    </row>
    <row r="237">
      <c r="C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U237" s="2"/>
    </row>
    <row r="238">
      <c r="C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U238" s="2"/>
    </row>
    <row r="239">
      <c r="C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U239" s="2"/>
    </row>
    <row r="240">
      <c r="C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U240" s="2"/>
    </row>
    <row r="241">
      <c r="C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U241" s="2"/>
    </row>
    <row r="242">
      <c r="C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U242" s="2"/>
    </row>
    <row r="243">
      <c r="C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U243" s="2"/>
    </row>
    <row r="244">
      <c r="C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U244" s="2"/>
    </row>
    <row r="245">
      <c r="C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U245" s="2"/>
    </row>
    <row r="246">
      <c r="C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U246" s="2"/>
    </row>
    <row r="247">
      <c r="C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U247" s="2"/>
    </row>
    <row r="248">
      <c r="C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U248" s="2"/>
    </row>
    <row r="249">
      <c r="C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U249" s="2"/>
    </row>
    <row r="250">
      <c r="C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U250" s="2"/>
    </row>
    <row r="251">
      <c r="C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U251" s="2"/>
    </row>
    <row r="252">
      <c r="C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U252" s="2"/>
    </row>
    <row r="253">
      <c r="C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U253" s="2"/>
    </row>
    <row r="254">
      <c r="C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U254" s="2"/>
    </row>
    <row r="255">
      <c r="C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U255" s="2"/>
    </row>
    <row r="256">
      <c r="C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U256" s="2"/>
    </row>
    <row r="257">
      <c r="C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U257" s="2"/>
    </row>
    <row r="258">
      <c r="C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U258" s="2"/>
    </row>
    <row r="259">
      <c r="C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U259" s="2"/>
    </row>
    <row r="260">
      <c r="C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U260" s="2"/>
    </row>
    <row r="261">
      <c r="C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U261" s="2"/>
    </row>
    <row r="262">
      <c r="C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U262" s="2"/>
    </row>
    <row r="263">
      <c r="C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U263" s="2"/>
    </row>
    <row r="264">
      <c r="C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U264" s="2"/>
    </row>
    <row r="265">
      <c r="C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U265" s="2"/>
    </row>
    <row r="266">
      <c r="C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U266" s="2"/>
    </row>
    <row r="267">
      <c r="C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U267" s="2"/>
    </row>
    <row r="268">
      <c r="C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U268" s="2"/>
    </row>
    <row r="269">
      <c r="C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U269" s="2"/>
    </row>
    <row r="270">
      <c r="C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U270" s="2"/>
    </row>
    <row r="271">
      <c r="C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U271" s="2"/>
    </row>
    <row r="272">
      <c r="C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U272" s="2"/>
    </row>
    <row r="273">
      <c r="C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U273" s="2"/>
    </row>
    <row r="274">
      <c r="C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U274" s="2"/>
    </row>
    <row r="275">
      <c r="C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U275" s="2"/>
    </row>
    <row r="276">
      <c r="C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U276" s="2"/>
    </row>
    <row r="277">
      <c r="C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U277" s="2"/>
    </row>
    <row r="278">
      <c r="C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U278" s="2"/>
    </row>
    <row r="279">
      <c r="C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U279" s="2"/>
    </row>
    <row r="280">
      <c r="C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U280" s="2"/>
    </row>
    <row r="281">
      <c r="C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U281" s="2"/>
    </row>
    <row r="282">
      <c r="C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U282" s="2"/>
    </row>
    <row r="283">
      <c r="C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U283" s="2"/>
    </row>
    <row r="284">
      <c r="C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U284" s="2"/>
    </row>
    <row r="285">
      <c r="C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U285" s="2"/>
    </row>
    <row r="286">
      <c r="C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U286" s="2"/>
    </row>
    <row r="287">
      <c r="C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U287" s="2"/>
    </row>
    <row r="288">
      <c r="C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U288" s="2"/>
    </row>
    <row r="289">
      <c r="C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U289" s="2"/>
    </row>
    <row r="290">
      <c r="C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U290" s="2"/>
    </row>
    <row r="291">
      <c r="C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U291" s="2"/>
    </row>
    <row r="292">
      <c r="C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U292" s="2"/>
    </row>
    <row r="293">
      <c r="C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U293" s="2"/>
    </row>
    <row r="294">
      <c r="C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U294" s="2"/>
    </row>
    <row r="295">
      <c r="C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U295" s="2"/>
    </row>
    <row r="296">
      <c r="C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U296" s="2"/>
    </row>
    <row r="297">
      <c r="C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U297" s="2"/>
    </row>
    <row r="298">
      <c r="C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U298" s="2"/>
    </row>
    <row r="299">
      <c r="C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U299" s="2"/>
    </row>
    <row r="300">
      <c r="C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U300" s="2"/>
    </row>
    <row r="301">
      <c r="C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U301" s="2"/>
    </row>
    <row r="302">
      <c r="C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U302" s="2"/>
    </row>
    <row r="303">
      <c r="C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U303" s="2"/>
    </row>
    <row r="304">
      <c r="C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U304" s="2"/>
    </row>
    <row r="305">
      <c r="C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U305" s="2"/>
    </row>
    <row r="306">
      <c r="C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U306" s="2"/>
    </row>
    <row r="307">
      <c r="C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U307" s="2"/>
    </row>
    <row r="308">
      <c r="C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U308" s="2"/>
    </row>
    <row r="309">
      <c r="C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U309" s="2"/>
    </row>
    <row r="310">
      <c r="C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U310" s="2"/>
    </row>
    <row r="311">
      <c r="C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U311" s="2"/>
    </row>
    <row r="312">
      <c r="C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U312" s="2"/>
    </row>
    <row r="313">
      <c r="C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U313" s="2"/>
    </row>
    <row r="314">
      <c r="C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U314" s="2"/>
    </row>
    <row r="315">
      <c r="C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U315" s="2"/>
    </row>
    <row r="316">
      <c r="C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U316" s="2"/>
    </row>
    <row r="317">
      <c r="C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U317" s="2"/>
    </row>
    <row r="318">
      <c r="C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U318" s="2"/>
    </row>
    <row r="319">
      <c r="C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U319" s="2"/>
    </row>
    <row r="320">
      <c r="C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U320" s="2"/>
    </row>
    <row r="321">
      <c r="C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U321" s="2"/>
    </row>
    <row r="322">
      <c r="C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U322" s="2"/>
    </row>
    <row r="323">
      <c r="C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U323" s="2"/>
    </row>
    <row r="324">
      <c r="C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U324" s="2"/>
    </row>
    <row r="325">
      <c r="C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U325" s="2"/>
    </row>
    <row r="326">
      <c r="C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U326" s="2"/>
    </row>
    <row r="327">
      <c r="C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U327" s="2"/>
    </row>
    <row r="328">
      <c r="C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U328" s="2"/>
    </row>
    <row r="329">
      <c r="C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U329" s="2"/>
    </row>
    <row r="330">
      <c r="C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U330" s="2"/>
    </row>
    <row r="331">
      <c r="C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U331" s="2"/>
    </row>
    <row r="332">
      <c r="C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U332" s="2"/>
    </row>
    <row r="333">
      <c r="C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U333" s="2"/>
    </row>
    <row r="334">
      <c r="C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U334" s="2"/>
    </row>
    <row r="335">
      <c r="C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U335" s="2"/>
    </row>
    <row r="336">
      <c r="C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U336" s="2"/>
    </row>
    <row r="337">
      <c r="C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U337" s="2"/>
    </row>
    <row r="338">
      <c r="C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U338" s="2"/>
    </row>
    <row r="339">
      <c r="C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U339" s="2"/>
    </row>
    <row r="340">
      <c r="C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U340" s="2"/>
    </row>
    <row r="341">
      <c r="C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U341" s="2"/>
    </row>
    <row r="342">
      <c r="C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U342" s="2"/>
    </row>
    <row r="343">
      <c r="C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U343" s="2"/>
    </row>
    <row r="344">
      <c r="C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U344" s="2"/>
    </row>
    <row r="345">
      <c r="C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U345" s="2"/>
    </row>
    <row r="346">
      <c r="C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U346" s="2"/>
    </row>
    <row r="347">
      <c r="C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U347" s="2"/>
    </row>
    <row r="348">
      <c r="C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U348" s="2"/>
    </row>
    <row r="349">
      <c r="C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U349" s="2"/>
    </row>
    <row r="350">
      <c r="C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U350" s="2"/>
    </row>
    <row r="351">
      <c r="C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U351" s="2"/>
    </row>
    <row r="352">
      <c r="C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U352" s="2"/>
    </row>
    <row r="353">
      <c r="C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U353" s="2"/>
    </row>
    <row r="354">
      <c r="C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U354" s="2"/>
    </row>
    <row r="355">
      <c r="C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U355" s="2"/>
    </row>
    <row r="356">
      <c r="C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U356" s="2"/>
    </row>
    <row r="357">
      <c r="C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U357" s="2"/>
    </row>
    <row r="358">
      <c r="C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U358" s="2"/>
    </row>
    <row r="359">
      <c r="C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U359" s="2"/>
    </row>
    <row r="360">
      <c r="C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U360" s="2"/>
    </row>
    <row r="361">
      <c r="C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U361" s="2"/>
    </row>
    <row r="362">
      <c r="C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U362" s="2"/>
    </row>
    <row r="363">
      <c r="C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U363" s="2"/>
    </row>
    <row r="364">
      <c r="C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U364" s="2"/>
    </row>
    <row r="365">
      <c r="C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U365" s="2"/>
    </row>
    <row r="366">
      <c r="C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U366" s="2"/>
    </row>
    <row r="367">
      <c r="C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U367" s="2"/>
    </row>
    <row r="368">
      <c r="C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U368" s="2"/>
    </row>
    <row r="369">
      <c r="C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U369" s="2"/>
    </row>
    <row r="370">
      <c r="C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U370" s="2"/>
    </row>
    <row r="371">
      <c r="C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U371" s="2"/>
    </row>
    <row r="372">
      <c r="C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U372" s="2"/>
    </row>
    <row r="373">
      <c r="C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U373" s="2"/>
    </row>
    <row r="374">
      <c r="C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U374" s="2"/>
    </row>
    <row r="375">
      <c r="C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U375" s="2"/>
    </row>
    <row r="376">
      <c r="C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U376" s="2"/>
    </row>
    <row r="377">
      <c r="C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U377" s="2"/>
    </row>
    <row r="378">
      <c r="C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U378" s="2"/>
    </row>
    <row r="379">
      <c r="C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U379" s="2"/>
    </row>
    <row r="380">
      <c r="C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U380" s="2"/>
    </row>
    <row r="381">
      <c r="C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U381" s="2"/>
    </row>
    <row r="382">
      <c r="C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U382" s="2"/>
    </row>
    <row r="383">
      <c r="C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U383" s="2"/>
    </row>
    <row r="384">
      <c r="C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U384" s="2"/>
    </row>
    <row r="385">
      <c r="C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U385" s="2"/>
    </row>
    <row r="386">
      <c r="C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U386" s="2"/>
    </row>
    <row r="387">
      <c r="C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U387" s="2"/>
    </row>
    <row r="388">
      <c r="C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U388" s="2"/>
    </row>
    <row r="389">
      <c r="C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U389" s="2"/>
    </row>
    <row r="390">
      <c r="C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U390" s="2"/>
    </row>
    <row r="391">
      <c r="C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U391" s="2"/>
    </row>
    <row r="392">
      <c r="C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U392" s="2"/>
    </row>
    <row r="393">
      <c r="C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U393" s="2"/>
    </row>
    <row r="394">
      <c r="C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U394" s="2"/>
    </row>
    <row r="395">
      <c r="C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U395" s="2"/>
    </row>
    <row r="396">
      <c r="C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U396" s="2"/>
    </row>
    <row r="397">
      <c r="C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U397" s="2"/>
    </row>
    <row r="398">
      <c r="C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U398" s="2"/>
    </row>
    <row r="399">
      <c r="C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U399" s="2"/>
    </row>
    <row r="400">
      <c r="C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U400" s="2"/>
    </row>
    <row r="401">
      <c r="C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U401" s="2"/>
    </row>
    <row r="402">
      <c r="C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U402" s="2"/>
    </row>
    <row r="403">
      <c r="C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U403" s="2"/>
    </row>
    <row r="404">
      <c r="C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U404" s="2"/>
    </row>
    <row r="405">
      <c r="C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U405" s="2"/>
    </row>
    <row r="406">
      <c r="C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U406" s="2"/>
    </row>
    <row r="407">
      <c r="C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U407" s="2"/>
    </row>
    <row r="408">
      <c r="C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U408" s="2"/>
    </row>
    <row r="409">
      <c r="C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U409" s="2"/>
    </row>
    <row r="410">
      <c r="C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U410" s="2"/>
    </row>
    <row r="411">
      <c r="C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U411" s="2"/>
    </row>
    <row r="412">
      <c r="C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U412" s="2"/>
    </row>
    <row r="413">
      <c r="C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U413" s="2"/>
    </row>
    <row r="414">
      <c r="C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U414" s="2"/>
    </row>
    <row r="415">
      <c r="C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U415" s="2"/>
    </row>
    <row r="416">
      <c r="C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U416" s="2"/>
    </row>
    <row r="417">
      <c r="C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U417" s="2"/>
    </row>
    <row r="418">
      <c r="C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U418" s="2"/>
    </row>
    <row r="419">
      <c r="C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U419" s="2"/>
    </row>
    <row r="420">
      <c r="C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U420" s="2"/>
    </row>
    <row r="421">
      <c r="C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U421" s="2"/>
    </row>
    <row r="422">
      <c r="C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U422" s="2"/>
    </row>
    <row r="423">
      <c r="C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U423" s="2"/>
    </row>
    <row r="424">
      <c r="C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U424" s="2"/>
    </row>
    <row r="425">
      <c r="C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U425" s="2"/>
    </row>
    <row r="426">
      <c r="C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U426" s="2"/>
    </row>
    <row r="427">
      <c r="C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U427" s="2"/>
    </row>
    <row r="428">
      <c r="C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U428" s="2"/>
    </row>
    <row r="429">
      <c r="C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U429" s="2"/>
    </row>
    <row r="430">
      <c r="C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U430" s="2"/>
    </row>
    <row r="431">
      <c r="C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U431" s="2"/>
    </row>
    <row r="432">
      <c r="C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U432" s="2"/>
    </row>
    <row r="433">
      <c r="C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U433" s="2"/>
    </row>
    <row r="434">
      <c r="C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U434" s="2"/>
    </row>
    <row r="435">
      <c r="C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U435" s="2"/>
    </row>
    <row r="436">
      <c r="C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U436" s="2"/>
    </row>
    <row r="437">
      <c r="C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U437" s="2"/>
    </row>
    <row r="438">
      <c r="C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U438" s="2"/>
    </row>
    <row r="439">
      <c r="C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U439" s="2"/>
    </row>
    <row r="440">
      <c r="C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U440" s="2"/>
    </row>
    <row r="441">
      <c r="C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U441" s="2"/>
    </row>
    <row r="442">
      <c r="C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U442" s="2"/>
    </row>
    <row r="443">
      <c r="C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U443" s="2"/>
    </row>
    <row r="444">
      <c r="C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U444" s="2"/>
    </row>
    <row r="445">
      <c r="C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U445" s="2"/>
    </row>
    <row r="446">
      <c r="C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U446" s="2"/>
    </row>
    <row r="447">
      <c r="C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U447" s="2"/>
    </row>
    <row r="448">
      <c r="C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U448" s="2"/>
    </row>
    <row r="449">
      <c r="C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U449" s="2"/>
    </row>
    <row r="450">
      <c r="C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U450" s="2"/>
    </row>
    <row r="451">
      <c r="C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U451" s="2"/>
    </row>
    <row r="452">
      <c r="C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U452" s="2"/>
    </row>
    <row r="453">
      <c r="C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U453" s="2"/>
    </row>
    <row r="454">
      <c r="C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U454" s="2"/>
    </row>
    <row r="455">
      <c r="C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U455" s="2"/>
    </row>
    <row r="456">
      <c r="C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U456" s="2"/>
    </row>
    <row r="457">
      <c r="C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U457" s="2"/>
    </row>
    <row r="458">
      <c r="C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U458" s="2"/>
    </row>
    <row r="459">
      <c r="C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U459" s="2"/>
    </row>
    <row r="460">
      <c r="C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U460" s="2"/>
    </row>
    <row r="461">
      <c r="C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U461" s="2"/>
    </row>
    <row r="462">
      <c r="C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U462" s="2"/>
    </row>
    <row r="463">
      <c r="C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U463" s="2"/>
    </row>
    <row r="464">
      <c r="C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U464" s="2"/>
    </row>
    <row r="465">
      <c r="C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U465" s="2"/>
    </row>
    <row r="466">
      <c r="C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U466" s="2"/>
    </row>
    <row r="467">
      <c r="C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U467" s="2"/>
    </row>
    <row r="468">
      <c r="C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U468" s="2"/>
    </row>
    <row r="469">
      <c r="C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U469" s="2"/>
    </row>
    <row r="470">
      <c r="C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U470" s="2"/>
    </row>
    <row r="471">
      <c r="C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U471" s="2"/>
    </row>
    <row r="472">
      <c r="C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U472" s="2"/>
    </row>
    <row r="473">
      <c r="C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U473" s="2"/>
    </row>
    <row r="474">
      <c r="C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U474" s="2"/>
    </row>
    <row r="475">
      <c r="C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U475" s="2"/>
    </row>
    <row r="476">
      <c r="C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U476" s="2"/>
    </row>
    <row r="477">
      <c r="C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U477" s="2"/>
    </row>
    <row r="478">
      <c r="C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U478" s="2"/>
    </row>
    <row r="479">
      <c r="C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U479" s="2"/>
    </row>
    <row r="480">
      <c r="C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U480" s="2"/>
    </row>
    <row r="481">
      <c r="C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U481" s="2"/>
    </row>
    <row r="482">
      <c r="C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U482" s="2"/>
    </row>
    <row r="483">
      <c r="C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U483" s="2"/>
    </row>
    <row r="484">
      <c r="C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U484" s="2"/>
    </row>
    <row r="485">
      <c r="C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U485" s="2"/>
    </row>
    <row r="486">
      <c r="C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U486" s="2"/>
    </row>
    <row r="487">
      <c r="C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U487" s="2"/>
    </row>
    <row r="488">
      <c r="C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U488" s="2"/>
    </row>
    <row r="489">
      <c r="C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U489" s="2"/>
    </row>
    <row r="490">
      <c r="C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U490" s="2"/>
    </row>
    <row r="491">
      <c r="C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U491" s="2"/>
    </row>
    <row r="492">
      <c r="C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U492" s="2"/>
    </row>
    <row r="493">
      <c r="C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U493" s="2"/>
    </row>
    <row r="494">
      <c r="C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U494" s="2"/>
    </row>
    <row r="495">
      <c r="C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U495" s="2"/>
    </row>
    <row r="496">
      <c r="C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U496" s="2"/>
    </row>
    <row r="497">
      <c r="C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U497" s="2"/>
    </row>
    <row r="498">
      <c r="C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U498" s="2"/>
    </row>
    <row r="499">
      <c r="C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U499" s="2"/>
    </row>
    <row r="500">
      <c r="C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U500" s="2"/>
    </row>
    <row r="501">
      <c r="C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U501" s="2"/>
    </row>
    <row r="502">
      <c r="C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U502" s="2"/>
    </row>
    <row r="503">
      <c r="C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U503" s="2"/>
    </row>
    <row r="504">
      <c r="C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U504" s="2"/>
    </row>
    <row r="505">
      <c r="C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U505" s="2"/>
    </row>
    <row r="506">
      <c r="C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U506" s="2"/>
    </row>
    <row r="507">
      <c r="C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U507" s="2"/>
    </row>
    <row r="508">
      <c r="C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U508" s="2"/>
    </row>
    <row r="509">
      <c r="C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U509" s="2"/>
    </row>
    <row r="510">
      <c r="C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U510" s="2"/>
    </row>
    <row r="511">
      <c r="C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U511" s="2"/>
    </row>
    <row r="512">
      <c r="C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U512" s="2"/>
    </row>
    <row r="513">
      <c r="C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U513" s="2"/>
    </row>
    <row r="514">
      <c r="C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U514" s="2"/>
    </row>
    <row r="515">
      <c r="C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U515" s="2"/>
    </row>
    <row r="516">
      <c r="C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U516" s="2"/>
    </row>
    <row r="517">
      <c r="C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U517" s="2"/>
    </row>
    <row r="518">
      <c r="C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U518" s="2"/>
    </row>
    <row r="519">
      <c r="C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U519" s="2"/>
    </row>
    <row r="520">
      <c r="C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U520" s="2"/>
    </row>
    <row r="521">
      <c r="C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U521" s="2"/>
    </row>
    <row r="522">
      <c r="C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U522" s="2"/>
    </row>
    <row r="523">
      <c r="C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U523" s="2"/>
    </row>
    <row r="524">
      <c r="C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U524" s="2"/>
    </row>
    <row r="525">
      <c r="C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U525" s="2"/>
    </row>
    <row r="526">
      <c r="C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U526" s="2"/>
    </row>
    <row r="527">
      <c r="C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U527" s="2"/>
    </row>
    <row r="528">
      <c r="C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U528" s="2"/>
    </row>
    <row r="529">
      <c r="C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U529" s="2"/>
    </row>
    <row r="530">
      <c r="C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U530" s="2"/>
    </row>
    <row r="531">
      <c r="C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U531" s="2"/>
    </row>
    <row r="532">
      <c r="C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U532" s="2"/>
    </row>
    <row r="533">
      <c r="C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U533" s="2"/>
    </row>
    <row r="534">
      <c r="C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U534" s="2"/>
    </row>
    <row r="535">
      <c r="C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U535" s="2"/>
    </row>
    <row r="536">
      <c r="C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U536" s="2"/>
    </row>
    <row r="537">
      <c r="C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U537" s="2"/>
    </row>
    <row r="538">
      <c r="C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U538" s="2"/>
    </row>
    <row r="539">
      <c r="C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U539" s="2"/>
    </row>
    <row r="540">
      <c r="C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U540" s="2"/>
    </row>
    <row r="541">
      <c r="C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U541" s="2"/>
    </row>
    <row r="542">
      <c r="C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U542" s="2"/>
    </row>
    <row r="543">
      <c r="C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U543" s="2"/>
    </row>
    <row r="544">
      <c r="C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U544" s="2"/>
    </row>
    <row r="545">
      <c r="C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U545" s="2"/>
    </row>
    <row r="546">
      <c r="C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U546" s="2"/>
    </row>
    <row r="547">
      <c r="C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U547" s="2"/>
    </row>
    <row r="548">
      <c r="C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U548" s="2"/>
    </row>
    <row r="549">
      <c r="C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U549" s="2"/>
    </row>
    <row r="550">
      <c r="C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U550" s="2"/>
    </row>
    <row r="551">
      <c r="C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U551" s="2"/>
    </row>
    <row r="552">
      <c r="C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U552" s="2"/>
    </row>
    <row r="553">
      <c r="C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U553" s="2"/>
    </row>
    <row r="554">
      <c r="C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U554" s="2"/>
    </row>
    <row r="555">
      <c r="C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U555" s="2"/>
    </row>
    <row r="556">
      <c r="C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U556" s="2"/>
    </row>
    <row r="557">
      <c r="C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U557" s="2"/>
    </row>
    <row r="558">
      <c r="C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U558" s="2"/>
    </row>
    <row r="559">
      <c r="C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U559" s="2"/>
    </row>
    <row r="560">
      <c r="C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U560" s="2"/>
    </row>
    <row r="561">
      <c r="C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U561" s="2"/>
    </row>
    <row r="562">
      <c r="C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U562" s="2"/>
    </row>
    <row r="563">
      <c r="C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U563" s="2"/>
    </row>
    <row r="564">
      <c r="C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U564" s="2"/>
    </row>
    <row r="565">
      <c r="C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U565" s="2"/>
    </row>
    <row r="566">
      <c r="C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U566" s="2"/>
    </row>
    <row r="567">
      <c r="C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U567" s="2"/>
    </row>
    <row r="568">
      <c r="C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U568" s="2"/>
    </row>
    <row r="569">
      <c r="C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U569" s="2"/>
    </row>
    <row r="570">
      <c r="C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U570" s="2"/>
    </row>
    <row r="571">
      <c r="C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U571" s="2"/>
    </row>
    <row r="572">
      <c r="C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U572" s="2"/>
    </row>
    <row r="573">
      <c r="C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U573" s="2"/>
    </row>
    <row r="574">
      <c r="C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U574" s="2"/>
    </row>
    <row r="575">
      <c r="C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U575" s="2"/>
    </row>
    <row r="576">
      <c r="C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U576" s="2"/>
    </row>
    <row r="577">
      <c r="C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U577" s="2"/>
    </row>
    <row r="578">
      <c r="C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U578" s="2"/>
    </row>
    <row r="579">
      <c r="C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U579" s="2"/>
    </row>
    <row r="580">
      <c r="C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U580" s="2"/>
    </row>
    <row r="581">
      <c r="C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U581" s="2"/>
    </row>
    <row r="582">
      <c r="C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U582" s="2"/>
    </row>
    <row r="583">
      <c r="C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U583" s="2"/>
    </row>
    <row r="584">
      <c r="C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U584" s="2"/>
    </row>
    <row r="585">
      <c r="C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U585" s="2"/>
    </row>
    <row r="586">
      <c r="C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U586" s="2"/>
    </row>
    <row r="587">
      <c r="C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U587" s="2"/>
    </row>
    <row r="588">
      <c r="C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U588" s="2"/>
    </row>
    <row r="589">
      <c r="C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U589" s="2"/>
    </row>
    <row r="590">
      <c r="C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U590" s="2"/>
    </row>
    <row r="591">
      <c r="C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U591" s="2"/>
    </row>
    <row r="592">
      <c r="C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U592" s="2"/>
    </row>
    <row r="593">
      <c r="C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U593" s="2"/>
    </row>
    <row r="594">
      <c r="C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U594" s="2"/>
    </row>
    <row r="595">
      <c r="C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U595" s="2"/>
    </row>
    <row r="596">
      <c r="C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U596" s="2"/>
    </row>
    <row r="597">
      <c r="C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U597" s="2"/>
    </row>
    <row r="598">
      <c r="C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U598" s="2"/>
    </row>
    <row r="599">
      <c r="C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U599" s="2"/>
    </row>
    <row r="600">
      <c r="C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U600" s="2"/>
    </row>
    <row r="601">
      <c r="C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U601" s="2"/>
    </row>
    <row r="602">
      <c r="C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U602" s="2"/>
    </row>
    <row r="603">
      <c r="C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U603" s="2"/>
    </row>
    <row r="604">
      <c r="C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U604" s="2"/>
    </row>
    <row r="605">
      <c r="C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U605" s="2"/>
    </row>
    <row r="606">
      <c r="C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U606" s="2"/>
    </row>
    <row r="607">
      <c r="C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U607" s="2"/>
    </row>
    <row r="608">
      <c r="C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U608" s="2"/>
    </row>
    <row r="609">
      <c r="C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U609" s="2"/>
    </row>
    <row r="610">
      <c r="C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U610" s="2"/>
    </row>
    <row r="611">
      <c r="C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U611" s="2"/>
    </row>
    <row r="612">
      <c r="C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U612" s="2"/>
    </row>
    <row r="613">
      <c r="C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U613" s="2"/>
    </row>
    <row r="614">
      <c r="C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U614" s="2"/>
    </row>
    <row r="615">
      <c r="C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U615" s="2"/>
    </row>
    <row r="616">
      <c r="C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U616" s="2"/>
    </row>
    <row r="617">
      <c r="C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U617" s="2"/>
    </row>
    <row r="618">
      <c r="C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U618" s="2"/>
    </row>
    <row r="619">
      <c r="C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U619" s="2"/>
    </row>
    <row r="620">
      <c r="C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U620" s="2"/>
    </row>
    <row r="621">
      <c r="C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U621" s="2"/>
    </row>
    <row r="622">
      <c r="C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U622" s="2"/>
    </row>
    <row r="623">
      <c r="C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U623" s="2"/>
    </row>
    <row r="624">
      <c r="C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U624" s="2"/>
    </row>
    <row r="625">
      <c r="C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U625" s="2"/>
    </row>
    <row r="626">
      <c r="C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U626" s="2"/>
    </row>
    <row r="627">
      <c r="C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U627" s="2"/>
    </row>
    <row r="628">
      <c r="C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U628" s="2"/>
    </row>
    <row r="629">
      <c r="C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U629" s="2"/>
    </row>
    <row r="630">
      <c r="C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U630" s="2"/>
    </row>
    <row r="631">
      <c r="C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U631" s="2"/>
    </row>
    <row r="632">
      <c r="C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U632" s="2"/>
    </row>
    <row r="633">
      <c r="C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U633" s="2"/>
    </row>
    <row r="634">
      <c r="C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U634" s="2"/>
    </row>
    <row r="635">
      <c r="C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U635" s="2"/>
    </row>
    <row r="636">
      <c r="C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U636" s="2"/>
    </row>
    <row r="637">
      <c r="C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U637" s="2"/>
    </row>
    <row r="638">
      <c r="C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U638" s="2"/>
    </row>
    <row r="639">
      <c r="C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U639" s="2"/>
    </row>
    <row r="640">
      <c r="C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U640" s="2"/>
    </row>
    <row r="641">
      <c r="C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U641" s="2"/>
    </row>
    <row r="642">
      <c r="C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U642" s="2"/>
    </row>
    <row r="643">
      <c r="C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U643" s="2"/>
    </row>
    <row r="644">
      <c r="C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U644" s="2"/>
    </row>
    <row r="645">
      <c r="C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U645" s="2"/>
    </row>
    <row r="646">
      <c r="C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U646" s="2"/>
    </row>
    <row r="647">
      <c r="C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U647" s="2"/>
    </row>
    <row r="648">
      <c r="C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U648" s="2"/>
    </row>
    <row r="649">
      <c r="C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U649" s="2"/>
    </row>
    <row r="650">
      <c r="C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U650" s="2"/>
    </row>
    <row r="651">
      <c r="C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U651" s="2"/>
    </row>
    <row r="652">
      <c r="C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U652" s="2"/>
    </row>
    <row r="653">
      <c r="C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U653" s="2"/>
    </row>
    <row r="654">
      <c r="C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U654" s="2"/>
    </row>
    <row r="655">
      <c r="C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U655" s="2"/>
    </row>
    <row r="656">
      <c r="C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U656" s="2"/>
    </row>
    <row r="657">
      <c r="C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U657" s="2"/>
    </row>
    <row r="658">
      <c r="C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U658" s="2"/>
    </row>
    <row r="659">
      <c r="C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U659" s="2"/>
    </row>
    <row r="660">
      <c r="C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U660" s="2"/>
    </row>
    <row r="661">
      <c r="C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U661" s="2"/>
    </row>
    <row r="662">
      <c r="C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U662" s="2"/>
    </row>
    <row r="663">
      <c r="C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U663" s="2"/>
    </row>
    <row r="664">
      <c r="C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U664" s="2"/>
    </row>
    <row r="665">
      <c r="C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U665" s="2"/>
    </row>
    <row r="666">
      <c r="C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U666" s="2"/>
    </row>
    <row r="667">
      <c r="C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U667" s="2"/>
    </row>
    <row r="668">
      <c r="C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U668" s="2"/>
    </row>
    <row r="669">
      <c r="C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U669" s="2"/>
    </row>
    <row r="670">
      <c r="C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U670" s="2"/>
    </row>
    <row r="671">
      <c r="C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U671" s="2"/>
    </row>
    <row r="672">
      <c r="C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U672" s="2"/>
    </row>
    <row r="673">
      <c r="C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U673" s="2"/>
    </row>
    <row r="674">
      <c r="C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U674" s="2"/>
    </row>
    <row r="675">
      <c r="C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U675" s="2"/>
    </row>
    <row r="676">
      <c r="C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U676" s="2"/>
    </row>
    <row r="677">
      <c r="C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U677" s="2"/>
    </row>
    <row r="678">
      <c r="C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U678" s="2"/>
    </row>
    <row r="679">
      <c r="C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U679" s="2"/>
    </row>
    <row r="680">
      <c r="C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U680" s="2"/>
    </row>
    <row r="681">
      <c r="C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U681" s="2"/>
    </row>
    <row r="682">
      <c r="C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U682" s="2"/>
    </row>
    <row r="683">
      <c r="C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U683" s="2"/>
    </row>
    <row r="684">
      <c r="C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U684" s="2"/>
    </row>
    <row r="685">
      <c r="C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U685" s="2"/>
    </row>
    <row r="686">
      <c r="C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U686" s="2"/>
    </row>
    <row r="687">
      <c r="C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U687" s="2"/>
    </row>
    <row r="688">
      <c r="C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U688" s="2"/>
    </row>
    <row r="689">
      <c r="C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U689" s="2"/>
    </row>
    <row r="690">
      <c r="C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U690" s="2"/>
    </row>
    <row r="691">
      <c r="C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U691" s="2"/>
    </row>
    <row r="692">
      <c r="C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U692" s="2"/>
    </row>
    <row r="693">
      <c r="C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U693" s="2"/>
    </row>
    <row r="694">
      <c r="C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U694" s="2"/>
    </row>
    <row r="695">
      <c r="C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U695" s="2"/>
    </row>
    <row r="696">
      <c r="C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U696" s="2"/>
    </row>
    <row r="697">
      <c r="C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U697" s="2"/>
    </row>
    <row r="698">
      <c r="C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U698" s="2"/>
    </row>
    <row r="699">
      <c r="C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U699" s="2"/>
    </row>
    <row r="700">
      <c r="C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U700" s="2"/>
    </row>
    <row r="701">
      <c r="C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U701" s="2"/>
    </row>
    <row r="702">
      <c r="C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U702" s="2"/>
    </row>
    <row r="703">
      <c r="C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U703" s="2"/>
    </row>
    <row r="704">
      <c r="C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U704" s="2"/>
    </row>
    <row r="705">
      <c r="C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U705" s="2"/>
    </row>
    <row r="706">
      <c r="C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U706" s="2"/>
    </row>
    <row r="707">
      <c r="C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U707" s="2"/>
    </row>
    <row r="708">
      <c r="C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U708" s="2"/>
    </row>
    <row r="709">
      <c r="C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U709" s="2"/>
    </row>
    <row r="710">
      <c r="C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U710" s="2"/>
    </row>
    <row r="711">
      <c r="C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U711" s="2"/>
    </row>
    <row r="712">
      <c r="C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U712" s="2"/>
    </row>
    <row r="713">
      <c r="C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U713" s="2"/>
    </row>
    <row r="714">
      <c r="C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U714" s="2"/>
    </row>
    <row r="715">
      <c r="C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U715" s="2"/>
    </row>
    <row r="716">
      <c r="C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U716" s="2"/>
    </row>
    <row r="717">
      <c r="C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U717" s="2"/>
    </row>
    <row r="718">
      <c r="C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U718" s="2"/>
    </row>
    <row r="719">
      <c r="C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U719" s="2"/>
    </row>
    <row r="720">
      <c r="C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U720" s="2"/>
    </row>
    <row r="721">
      <c r="C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U721" s="2"/>
    </row>
    <row r="722">
      <c r="C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U722" s="2"/>
    </row>
    <row r="723">
      <c r="C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U723" s="2"/>
    </row>
    <row r="724">
      <c r="C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U724" s="2"/>
    </row>
    <row r="725">
      <c r="C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U725" s="2"/>
    </row>
    <row r="726">
      <c r="C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U726" s="2"/>
    </row>
    <row r="727">
      <c r="C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U727" s="2"/>
    </row>
    <row r="728">
      <c r="C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U728" s="2"/>
    </row>
    <row r="729">
      <c r="C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U729" s="2"/>
    </row>
    <row r="730">
      <c r="C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U730" s="2"/>
    </row>
    <row r="731">
      <c r="C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U731" s="2"/>
    </row>
    <row r="732">
      <c r="C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U732" s="2"/>
    </row>
    <row r="733">
      <c r="C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U733" s="2"/>
    </row>
    <row r="734">
      <c r="C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U734" s="2"/>
    </row>
    <row r="735">
      <c r="C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U735" s="2"/>
    </row>
    <row r="736">
      <c r="C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U736" s="2"/>
    </row>
    <row r="737">
      <c r="C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U737" s="2"/>
    </row>
    <row r="738">
      <c r="C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U738" s="2"/>
    </row>
    <row r="739">
      <c r="C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U739" s="2"/>
    </row>
    <row r="740">
      <c r="C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U740" s="2"/>
    </row>
    <row r="741">
      <c r="C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U741" s="2"/>
    </row>
    <row r="742">
      <c r="C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U742" s="2"/>
    </row>
    <row r="743">
      <c r="C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U743" s="2"/>
    </row>
    <row r="744">
      <c r="C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U744" s="2"/>
    </row>
    <row r="745">
      <c r="C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U745" s="2"/>
    </row>
    <row r="746">
      <c r="C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U746" s="2"/>
    </row>
    <row r="747">
      <c r="C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U747" s="2"/>
    </row>
    <row r="748">
      <c r="C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U748" s="2"/>
    </row>
    <row r="749">
      <c r="C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U749" s="2"/>
    </row>
    <row r="750">
      <c r="C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U750" s="2"/>
    </row>
    <row r="751">
      <c r="C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U751" s="2"/>
    </row>
    <row r="752">
      <c r="C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U752" s="2"/>
    </row>
    <row r="753">
      <c r="C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U753" s="2"/>
    </row>
    <row r="754">
      <c r="C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U754" s="2"/>
    </row>
    <row r="755">
      <c r="C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U755" s="2"/>
    </row>
    <row r="756">
      <c r="C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U756" s="2"/>
    </row>
    <row r="757">
      <c r="C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U757" s="2"/>
    </row>
    <row r="758">
      <c r="C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U758" s="2"/>
    </row>
    <row r="759">
      <c r="C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U759" s="2"/>
    </row>
    <row r="760">
      <c r="C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U760" s="2"/>
    </row>
    <row r="761">
      <c r="C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U761" s="2"/>
    </row>
    <row r="762">
      <c r="C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U762" s="2"/>
    </row>
    <row r="763">
      <c r="C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U763" s="2"/>
    </row>
    <row r="764">
      <c r="C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U764" s="2"/>
    </row>
    <row r="765">
      <c r="C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U765" s="2"/>
    </row>
    <row r="766">
      <c r="C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U766" s="2"/>
    </row>
    <row r="767">
      <c r="C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U767" s="2"/>
    </row>
    <row r="768">
      <c r="C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U768" s="2"/>
    </row>
    <row r="769">
      <c r="C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U769" s="2"/>
    </row>
    <row r="770">
      <c r="C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U770" s="2"/>
    </row>
    <row r="771">
      <c r="C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U771" s="2"/>
    </row>
    <row r="772">
      <c r="C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U772" s="2"/>
    </row>
    <row r="773">
      <c r="C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U773" s="2"/>
    </row>
    <row r="774">
      <c r="C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U774" s="2"/>
    </row>
    <row r="775">
      <c r="C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U775" s="2"/>
    </row>
    <row r="776">
      <c r="C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U776" s="2"/>
    </row>
    <row r="777">
      <c r="C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U777" s="2"/>
    </row>
    <row r="778">
      <c r="C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U778" s="2"/>
    </row>
    <row r="779">
      <c r="C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U779" s="2"/>
    </row>
    <row r="780">
      <c r="C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U780" s="2"/>
    </row>
    <row r="781">
      <c r="C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U781" s="2"/>
    </row>
    <row r="782">
      <c r="C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U782" s="2"/>
    </row>
    <row r="783">
      <c r="C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U783" s="2"/>
    </row>
    <row r="784">
      <c r="C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U784" s="2"/>
    </row>
    <row r="785">
      <c r="C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U785" s="2"/>
    </row>
    <row r="786">
      <c r="C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U786" s="2"/>
    </row>
    <row r="787">
      <c r="C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U787" s="2"/>
    </row>
    <row r="788">
      <c r="C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U788" s="2"/>
    </row>
    <row r="789">
      <c r="C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U789" s="2"/>
    </row>
    <row r="790">
      <c r="C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U790" s="2"/>
    </row>
    <row r="791">
      <c r="C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U791" s="2"/>
    </row>
    <row r="792">
      <c r="C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U792" s="2"/>
    </row>
    <row r="793">
      <c r="C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U793" s="2"/>
    </row>
    <row r="794">
      <c r="C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U794" s="2"/>
    </row>
    <row r="795">
      <c r="C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U795" s="2"/>
    </row>
    <row r="796">
      <c r="C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U796" s="2"/>
    </row>
    <row r="797">
      <c r="C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U797" s="2"/>
    </row>
    <row r="798">
      <c r="C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U798" s="2"/>
    </row>
    <row r="799">
      <c r="C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U799" s="2"/>
    </row>
    <row r="800">
      <c r="C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U800" s="2"/>
    </row>
    <row r="801">
      <c r="C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U801" s="2"/>
    </row>
    <row r="802">
      <c r="C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U802" s="2"/>
    </row>
    <row r="803">
      <c r="C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U803" s="2"/>
    </row>
    <row r="804">
      <c r="C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U804" s="2"/>
    </row>
    <row r="805">
      <c r="C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U805" s="2"/>
    </row>
    <row r="806">
      <c r="C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U806" s="2"/>
    </row>
    <row r="807">
      <c r="C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U807" s="2"/>
    </row>
    <row r="808">
      <c r="C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U808" s="2"/>
    </row>
    <row r="809">
      <c r="C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U809" s="2"/>
    </row>
    <row r="810">
      <c r="C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U810" s="2"/>
    </row>
    <row r="811">
      <c r="C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U811" s="2"/>
    </row>
    <row r="812">
      <c r="C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U812" s="2"/>
    </row>
    <row r="813">
      <c r="C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U813" s="2"/>
    </row>
    <row r="814">
      <c r="C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U814" s="2"/>
    </row>
    <row r="815">
      <c r="C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U815" s="2"/>
    </row>
    <row r="816">
      <c r="C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U816" s="2"/>
    </row>
    <row r="817">
      <c r="C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U817" s="2"/>
    </row>
    <row r="818">
      <c r="C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U818" s="2"/>
    </row>
    <row r="819">
      <c r="C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U819" s="2"/>
    </row>
    <row r="820">
      <c r="C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U820" s="2"/>
    </row>
    <row r="821">
      <c r="C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U821" s="2"/>
    </row>
    <row r="822">
      <c r="C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U822" s="2"/>
    </row>
    <row r="823">
      <c r="C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U823" s="2"/>
    </row>
    <row r="824">
      <c r="C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U824" s="2"/>
    </row>
    <row r="825">
      <c r="C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U825" s="2"/>
    </row>
    <row r="826">
      <c r="C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U826" s="2"/>
    </row>
    <row r="827">
      <c r="C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U827" s="2"/>
    </row>
    <row r="828">
      <c r="C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U828" s="2"/>
    </row>
    <row r="829">
      <c r="C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U829" s="2"/>
    </row>
    <row r="830">
      <c r="C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U830" s="2"/>
    </row>
    <row r="831">
      <c r="C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U831" s="2"/>
    </row>
    <row r="832">
      <c r="C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U832" s="2"/>
    </row>
    <row r="833">
      <c r="C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U833" s="2"/>
    </row>
    <row r="834">
      <c r="C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U834" s="2"/>
    </row>
    <row r="835">
      <c r="C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U835" s="2"/>
    </row>
    <row r="836">
      <c r="C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U836" s="2"/>
    </row>
    <row r="837">
      <c r="C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U837" s="2"/>
    </row>
    <row r="838">
      <c r="C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U838" s="2"/>
    </row>
    <row r="839">
      <c r="C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U839" s="2"/>
    </row>
    <row r="840">
      <c r="C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U840" s="2"/>
    </row>
    <row r="841">
      <c r="C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U841" s="2"/>
    </row>
    <row r="842">
      <c r="C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U842" s="2"/>
    </row>
    <row r="843">
      <c r="C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U843" s="2"/>
    </row>
    <row r="844">
      <c r="C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U844" s="2"/>
    </row>
    <row r="845">
      <c r="C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U845" s="2"/>
    </row>
    <row r="846">
      <c r="C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U846" s="2"/>
    </row>
    <row r="847">
      <c r="C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U847" s="2"/>
    </row>
    <row r="848">
      <c r="C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U848" s="2"/>
    </row>
    <row r="849">
      <c r="C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U849" s="2"/>
    </row>
    <row r="850">
      <c r="C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U850" s="2"/>
    </row>
    <row r="851">
      <c r="C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U851" s="2"/>
    </row>
    <row r="852">
      <c r="C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U852" s="2"/>
    </row>
    <row r="853">
      <c r="C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U853" s="2"/>
    </row>
    <row r="854">
      <c r="C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U854" s="2"/>
    </row>
    <row r="855">
      <c r="C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U855" s="2"/>
    </row>
    <row r="856">
      <c r="C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U856" s="2"/>
    </row>
    <row r="857">
      <c r="C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U857" s="2"/>
    </row>
    <row r="858">
      <c r="C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U858" s="2"/>
    </row>
    <row r="859">
      <c r="C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U859" s="2"/>
    </row>
    <row r="860">
      <c r="C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U860" s="2"/>
    </row>
    <row r="861">
      <c r="C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U861" s="2"/>
    </row>
    <row r="862">
      <c r="C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U862" s="2"/>
    </row>
    <row r="863">
      <c r="C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U863" s="2"/>
    </row>
    <row r="864">
      <c r="C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U864" s="2"/>
    </row>
    <row r="865">
      <c r="C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U865" s="2"/>
    </row>
    <row r="866">
      <c r="C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U866" s="2"/>
    </row>
    <row r="867">
      <c r="C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U867" s="2"/>
    </row>
    <row r="868">
      <c r="C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U868" s="2"/>
    </row>
    <row r="869">
      <c r="C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U869" s="2"/>
    </row>
    <row r="870">
      <c r="C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U870" s="2"/>
    </row>
    <row r="871">
      <c r="C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U871" s="2"/>
    </row>
    <row r="872">
      <c r="C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U872" s="2"/>
    </row>
    <row r="873">
      <c r="C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U873" s="2"/>
    </row>
    <row r="874">
      <c r="C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U874" s="2"/>
    </row>
    <row r="875">
      <c r="C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U875" s="2"/>
    </row>
    <row r="876">
      <c r="C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U876" s="2"/>
    </row>
    <row r="877">
      <c r="C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U877" s="2"/>
    </row>
    <row r="878">
      <c r="C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U878" s="2"/>
    </row>
    <row r="879">
      <c r="C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U879" s="2"/>
    </row>
    <row r="880">
      <c r="C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U880" s="2"/>
    </row>
    <row r="881">
      <c r="C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U881" s="2"/>
    </row>
    <row r="882">
      <c r="C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U882" s="2"/>
    </row>
    <row r="883">
      <c r="C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U883" s="2"/>
    </row>
    <row r="884">
      <c r="C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U884" s="2"/>
    </row>
    <row r="885">
      <c r="C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U885" s="2"/>
    </row>
    <row r="886">
      <c r="C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U886" s="2"/>
    </row>
    <row r="887">
      <c r="C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U887" s="2"/>
    </row>
    <row r="888">
      <c r="C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U888" s="2"/>
    </row>
    <row r="889">
      <c r="C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U889" s="2"/>
    </row>
    <row r="890">
      <c r="C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U890" s="2"/>
    </row>
    <row r="891">
      <c r="C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U891" s="2"/>
    </row>
    <row r="892">
      <c r="C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U892" s="2"/>
    </row>
    <row r="893">
      <c r="C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U893" s="2"/>
    </row>
    <row r="894">
      <c r="C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U894" s="2"/>
    </row>
    <row r="895">
      <c r="C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U895" s="2"/>
    </row>
    <row r="896">
      <c r="C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U896" s="2"/>
    </row>
    <row r="897">
      <c r="C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U897" s="2"/>
    </row>
    <row r="898">
      <c r="C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U898" s="2"/>
    </row>
    <row r="899">
      <c r="C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U899" s="2"/>
    </row>
    <row r="900">
      <c r="C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U900" s="2"/>
    </row>
    <row r="901">
      <c r="C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U901" s="2"/>
    </row>
    <row r="902">
      <c r="C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U902" s="2"/>
    </row>
    <row r="903">
      <c r="C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U903" s="2"/>
    </row>
    <row r="904">
      <c r="C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U904" s="2"/>
    </row>
    <row r="905">
      <c r="C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U905" s="2"/>
    </row>
    <row r="906">
      <c r="C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U906" s="2"/>
    </row>
    <row r="907">
      <c r="C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U907" s="2"/>
    </row>
    <row r="908">
      <c r="C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U908" s="2"/>
    </row>
    <row r="909">
      <c r="C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U909" s="2"/>
    </row>
    <row r="910">
      <c r="C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U910" s="2"/>
    </row>
    <row r="911">
      <c r="C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U911" s="2"/>
    </row>
    <row r="912">
      <c r="C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U912" s="2"/>
    </row>
    <row r="913">
      <c r="C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U913" s="2"/>
    </row>
    <row r="914">
      <c r="C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U914" s="2"/>
    </row>
    <row r="915">
      <c r="C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U915" s="2"/>
    </row>
    <row r="916">
      <c r="C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U916" s="2"/>
    </row>
    <row r="917">
      <c r="C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U917" s="2"/>
    </row>
    <row r="918">
      <c r="C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U918" s="2"/>
    </row>
    <row r="919">
      <c r="C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U919" s="2"/>
    </row>
    <row r="920">
      <c r="C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U920" s="2"/>
    </row>
    <row r="921">
      <c r="C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U921" s="2"/>
    </row>
    <row r="922">
      <c r="C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U922" s="2"/>
    </row>
    <row r="923">
      <c r="C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U923" s="2"/>
    </row>
    <row r="924">
      <c r="C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U924" s="2"/>
    </row>
    <row r="925">
      <c r="C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U925" s="2"/>
    </row>
    <row r="926">
      <c r="C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U926" s="2"/>
    </row>
    <row r="927">
      <c r="C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U927" s="2"/>
    </row>
    <row r="928">
      <c r="C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U928" s="2"/>
    </row>
    <row r="929">
      <c r="C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U929" s="2"/>
    </row>
    <row r="930">
      <c r="C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U930" s="2"/>
    </row>
    <row r="931">
      <c r="C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U931" s="2"/>
    </row>
    <row r="932">
      <c r="C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U932" s="2"/>
    </row>
    <row r="933">
      <c r="C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U933" s="2"/>
    </row>
    <row r="934">
      <c r="C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U934" s="2"/>
    </row>
    <row r="935">
      <c r="C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U935" s="2"/>
    </row>
    <row r="936">
      <c r="C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U936" s="2"/>
    </row>
    <row r="937">
      <c r="C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U937" s="2"/>
    </row>
    <row r="938">
      <c r="C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U938" s="2"/>
    </row>
    <row r="939">
      <c r="C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U939" s="2"/>
    </row>
    <row r="940">
      <c r="C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U940" s="2"/>
    </row>
    <row r="941">
      <c r="C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U941" s="2"/>
    </row>
    <row r="942">
      <c r="C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U942" s="2"/>
    </row>
    <row r="943">
      <c r="C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U943" s="2"/>
    </row>
    <row r="944">
      <c r="C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U944" s="2"/>
    </row>
    <row r="945">
      <c r="C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U945" s="2"/>
    </row>
    <row r="946">
      <c r="C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U946" s="2"/>
    </row>
    <row r="947">
      <c r="C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U947" s="2"/>
    </row>
    <row r="948">
      <c r="C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U948" s="2"/>
    </row>
    <row r="949">
      <c r="C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U949" s="2"/>
    </row>
    <row r="950">
      <c r="C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U950" s="2"/>
    </row>
    <row r="951">
      <c r="C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U951" s="2"/>
    </row>
    <row r="952">
      <c r="C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U952" s="2"/>
    </row>
    <row r="953">
      <c r="C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U953" s="2"/>
    </row>
    <row r="954">
      <c r="C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U954" s="2"/>
    </row>
    <row r="955">
      <c r="C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U955" s="2"/>
    </row>
    <row r="956">
      <c r="C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U956" s="2"/>
    </row>
    <row r="957">
      <c r="C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U957" s="2"/>
    </row>
    <row r="958">
      <c r="C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U958" s="2"/>
    </row>
    <row r="959">
      <c r="C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U959" s="2"/>
    </row>
    <row r="960">
      <c r="C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U960" s="2"/>
    </row>
    <row r="961">
      <c r="C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U961" s="2"/>
    </row>
    <row r="962">
      <c r="C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U962" s="2"/>
    </row>
    <row r="963">
      <c r="C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U963" s="2"/>
    </row>
    <row r="964">
      <c r="C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U964" s="2"/>
    </row>
    <row r="965">
      <c r="C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U965" s="2"/>
    </row>
    <row r="966">
      <c r="C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U966" s="2"/>
    </row>
    <row r="967">
      <c r="C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U967" s="2"/>
    </row>
    <row r="968">
      <c r="C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U968" s="2"/>
    </row>
    <row r="969">
      <c r="C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U969" s="2"/>
    </row>
    <row r="970">
      <c r="C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U970" s="2"/>
    </row>
    <row r="971">
      <c r="C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U971" s="2"/>
    </row>
    <row r="972">
      <c r="C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U972" s="2"/>
    </row>
    <row r="973">
      <c r="C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U973" s="2"/>
    </row>
    <row r="974">
      <c r="C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U974" s="2"/>
    </row>
    <row r="975">
      <c r="C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U975" s="2"/>
    </row>
    <row r="976">
      <c r="C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U976" s="2"/>
    </row>
    <row r="977">
      <c r="C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U977" s="2"/>
    </row>
    <row r="978">
      <c r="C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U978" s="2"/>
    </row>
    <row r="979">
      <c r="C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U979" s="2"/>
    </row>
    <row r="980">
      <c r="C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U980" s="2"/>
    </row>
    <row r="981">
      <c r="C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U981" s="2"/>
    </row>
    <row r="982">
      <c r="C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U982" s="2"/>
    </row>
    <row r="983">
      <c r="C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U983" s="2"/>
    </row>
    <row r="984">
      <c r="C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U984" s="2"/>
    </row>
    <row r="985">
      <c r="C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U985" s="2"/>
    </row>
    <row r="986">
      <c r="C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U986" s="2"/>
    </row>
    <row r="987">
      <c r="C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U987" s="2"/>
    </row>
    <row r="988">
      <c r="C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U988" s="2"/>
    </row>
    <row r="989">
      <c r="C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U989" s="2"/>
    </row>
    <row r="990">
      <c r="C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U990" s="2"/>
    </row>
    <row r="991">
      <c r="C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U991" s="2"/>
    </row>
    <row r="992">
      <c r="C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U992" s="2"/>
    </row>
    <row r="993">
      <c r="C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U993" s="2"/>
    </row>
    <row r="994">
      <c r="C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U994" s="2"/>
    </row>
    <row r="995">
      <c r="C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U995" s="2"/>
    </row>
    <row r="996">
      <c r="C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U996" s="2"/>
    </row>
    <row r="997">
      <c r="C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U997" s="2"/>
    </row>
    <row r="998">
      <c r="C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U998" s="2"/>
    </row>
    <row r="999">
      <c r="C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U999" s="2"/>
    </row>
    <row r="1000">
      <c r="C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U1000" s="2"/>
    </row>
    <row r="1001">
      <c r="C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U1001" s="2"/>
    </row>
    <row r="1002">
      <c r="C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U1002" s="2"/>
    </row>
    <row r="1003">
      <c r="C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U1003" s="2"/>
    </row>
    <row r="1004">
      <c r="C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U1004" s="2"/>
    </row>
    <row r="1005">
      <c r="C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U1005" s="2"/>
    </row>
    <row r="1006">
      <c r="C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U1006" s="2"/>
    </row>
    <row r="1007">
      <c r="C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U1007" s="2"/>
    </row>
    <row r="1008">
      <c r="C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U1008" s="2"/>
    </row>
    <row r="1009">
      <c r="C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U1009" s="2"/>
    </row>
    <row r="1010">
      <c r="C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U1010" s="2"/>
    </row>
    <row r="1011">
      <c r="C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U1011" s="2"/>
    </row>
    <row r="1012">
      <c r="C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U1012" s="2"/>
    </row>
    <row r="1013">
      <c r="C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U1013" s="2"/>
    </row>
    <row r="1014">
      <c r="C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U1014" s="2"/>
    </row>
    <row r="1015">
      <c r="C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U1015" s="2"/>
    </row>
  </sheetData>
  <mergeCells count="1">
    <mergeCell ref="A16:A17"/>
  </mergeCells>
  <conditionalFormatting sqref="B45:F45">
    <cfRule type="cellIs" dxfId="0" priority="1" operator="lessThan">
      <formula>0</formula>
    </cfRule>
  </conditionalFormatting>
  <conditionalFormatting sqref="B45:F45">
    <cfRule type="cellIs" dxfId="1" priority="2" operator="lessThan">
      <formula>0</formula>
    </cfRule>
  </conditionalFormatting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47.0"/>
    <col customWidth="1" min="4" max="6" width="25.38"/>
  </cols>
  <sheetData>
    <row r="1">
      <c r="A1" s="25"/>
      <c r="B1" s="7"/>
      <c r="C1" s="7"/>
      <c r="D1" s="7"/>
      <c r="E1" s="7"/>
      <c r="F1" s="7"/>
      <c r="G1" s="2"/>
    </row>
    <row r="2">
      <c r="A2" s="26" t="s">
        <v>17</v>
      </c>
      <c r="B2" s="27" t="s">
        <v>18</v>
      </c>
      <c r="C2" s="27" t="s">
        <v>19</v>
      </c>
      <c r="D2" s="27" t="s">
        <v>20</v>
      </c>
      <c r="E2" s="27" t="s">
        <v>21</v>
      </c>
      <c r="F2" s="27" t="s">
        <v>22</v>
      </c>
      <c r="G2" s="28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</row>
    <row r="3">
      <c r="A3" s="30">
        <v>3.0</v>
      </c>
      <c r="B3" s="8">
        <v>1502251.08</v>
      </c>
      <c r="C3" s="8">
        <v>132315.75</v>
      </c>
      <c r="D3" s="8">
        <v>1357084.84</v>
      </c>
      <c r="E3" s="7"/>
      <c r="F3" s="7">
        <f t="shared" ref="F3:F5" si="1">sum(B3-C3-D3)+E3</f>
        <v>12850.49</v>
      </c>
      <c r="G3" s="2"/>
    </row>
    <row r="4">
      <c r="A4" s="30">
        <v>2.0</v>
      </c>
      <c r="B4" s="8">
        <v>800947.05</v>
      </c>
      <c r="C4" s="8">
        <v>49317.15</v>
      </c>
      <c r="D4" s="8">
        <v>0.0</v>
      </c>
      <c r="E4" s="8">
        <v>79900.0</v>
      </c>
      <c r="F4" s="7">
        <f t="shared" si="1"/>
        <v>831529.9</v>
      </c>
      <c r="G4" s="2"/>
    </row>
    <row r="5">
      <c r="A5" s="30">
        <v>1.0</v>
      </c>
      <c r="B5" s="8">
        <v>856012.37</v>
      </c>
      <c r="C5" s="8">
        <v>61466.0</v>
      </c>
      <c r="D5" s="8">
        <v>0.0</v>
      </c>
      <c r="E5" s="8">
        <v>0.0</v>
      </c>
      <c r="F5" s="7">
        <f t="shared" si="1"/>
        <v>794546.37</v>
      </c>
      <c r="G5" s="2"/>
    </row>
    <row r="6">
      <c r="A6" s="26" t="s">
        <v>15</v>
      </c>
      <c r="B6" s="31">
        <f t="shared" ref="B6:E6" si="2">sum(B3:B5)</f>
        <v>3159210.5</v>
      </c>
      <c r="C6" s="31">
        <f t="shared" si="2"/>
        <v>243098.9</v>
      </c>
      <c r="D6" s="31">
        <f t="shared" si="2"/>
        <v>1357084.84</v>
      </c>
      <c r="E6" s="31">
        <f t="shared" si="2"/>
        <v>79900</v>
      </c>
      <c r="F6" s="31">
        <f>sum(B6-C6-D6)</f>
        <v>1559026.76</v>
      </c>
      <c r="G6" s="28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</row>
    <row r="7">
      <c r="A7" s="32"/>
      <c r="B7" s="2"/>
      <c r="C7" s="2"/>
      <c r="D7" s="2"/>
      <c r="E7" s="2"/>
      <c r="F7" s="2"/>
      <c r="G7" s="2"/>
    </row>
    <row r="8">
      <c r="A8" s="32"/>
      <c r="B8" s="2"/>
      <c r="C8" s="2"/>
    </row>
    <row r="9">
      <c r="A9" s="32"/>
      <c r="B9" s="2"/>
      <c r="C9" s="2"/>
      <c r="D9" s="1"/>
      <c r="E9" s="1"/>
      <c r="F9" s="1"/>
      <c r="G9" s="1"/>
    </row>
    <row r="10">
      <c r="A10" s="33" t="s">
        <v>23</v>
      </c>
      <c r="B10" s="34">
        <f>B6</f>
        <v>3159210.5</v>
      </c>
      <c r="C10" s="2"/>
      <c r="D10" s="1"/>
      <c r="E10" s="35"/>
      <c r="F10" s="36"/>
      <c r="G10" s="29"/>
    </row>
    <row r="11">
      <c r="A11" s="37" t="s">
        <v>24</v>
      </c>
      <c r="B11" s="38">
        <f>sum('Total Expenses'!C3+'Total Expenses'!C4+'Total Expenses'!C5+'Total Expenses'!C7+'Total Expenses'!C8)</f>
        <v>1260899.55</v>
      </c>
      <c r="C11" s="39"/>
      <c r="D11" s="1"/>
      <c r="E11" s="35"/>
      <c r="F11" s="36"/>
      <c r="G11" s="29"/>
    </row>
    <row r="12">
      <c r="A12" s="37" t="s">
        <v>25</v>
      </c>
      <c r="B12" s="40">
        <f>'Total Expenses'!C2</f>
        <v>1100000</v>
      </c>
      <c r="C12" s="2"/>
      <c r="D12" s="1"/>
      <c r="E12" s="35"/>
      <c r="F12" s="36"/>
      <c r="G12" s="29"/>
    </row>
    <row r="13">
      <c r="A13" s="37" t="s">
        <v>26</v>
      </c>
      <c r="B13" s="38">
        <f>'Total Expenses'!C6+'Total Expenses'!C11</f>
        <v>281177.22</v>
      </c>
      <c r="C13" s="2"/>
      <c r="D13" s="1"/>
      <c r="E13" s="35"/>
      <c r="F13" s="36"/>
      <c r="G13" s="29"/>
    </row>
    <row r="14">
      <c r="A14" s="37" t="s">
        <v>27</v>
      </c>
      <c r="B14" s="38">
        <f>'Total Expenses'!C9+'Total Expenses'!C10</f>
        <v>325798.9</v>
      </c>
      <c r="C14" s="2"/>
      <c r="D14" s="1"/>
      <c r="E14" s="35"/>
      <c r="F14" s="36"/>
      <c r="G14" s="29"/>
    </row>
    <row r="15">
      <c r="A15" s="37" t="s">
        <v>28</v>
      </c>
      <c r="B15" s="38">
        <f>sum(B10-(B11+B12+B13+B14))</f>
        <v>191334.83</v>
      </c>
      <c r="C15" s="2"/>
      <c r="D15" s="1"/>
      <c r="E15" s="35"/>
      <c r="F15" s="36"/>
      <c r="G15" s="29"/>
    </row>
    <row r="16">
      <c r="A16" s="37" t="s">
        <v>29</v>
      </c>
      <c r="B16" s="38">
        <f>B15*0.25</f>
        <v>47833.7075</v>
      </c>
      <c r="C16" s="2"/>
    </row>
    <row r="17">
      <c r="A17" s="33" t="s">
        <v>22</v>
      </c>
      <c r="B17" s="34">
        <f>sum(B15-B16)</f>
        <v>143501.1225</v>
      </c>
      <c r="C17" s="39"/>
    </row>
    <row r="18">
      <c r="A18" s="41"/>
      <c r="B18" s="38"/>
      <c r="C18" s="2"/>
    </row>
    <row r="19">
      <c r="A19" s="42" t="s">
        <v>30</v>
      </c>
      <c r="B19" s="43">
        <v>800000.0</v>
      </c>
      <c r="C19" s="2"/>
    </row>
    <row r="20">
      <c r="A20" s="42" t="s">
        <v>31</v>
      </c>
      <c r="B20" s="44">
        <f>B17</f>
        <v>143501.1225</v>
      </c>
      <c r="C20" s="2"/>
    </row>
    <row r="21">
      <c r="A21" s="42" t="s">
        <v>32</v>
      </c>
      <c r="B21" s="45">
        <f>B20/B19</f>
        <v>0.1793764031</v>
      </c>
      <c r="C21" s="2"/>
    </row>
    <row r="22">
      <c r="A22" s="32"/>
      <c r="B22" s="2"/>
      <c r="C22" s="2"/>
    </row>
    <row r="23">
      <c r="A23" s="32"/>
      <c r="B23" s="2"/>
      <c r="C23" s="2"/>
    </row>
    <row r="24">
      <c r="A24" s="32"/>
      <c r="B24" s="2"/>
      <c r="C24" s="2"/>
    </row>
    <row r="25">
      <c r="A25" s="32"/>
      <c r="B25" s="2"/>
      <c r="C25" s="2"/>
    </row>
    <row r="26">
      <c r="A26" s="32"/>
      <c r="B26" s="2"/>
      <c r="C26" s="2"/>
    </row>
    <row r="27">
      <c r="A27" s="32"/>
      <c r="B27" s="2"/>
      <c r="C27" s="2"/>
    </row>
    <row r="28">
      <c r="A28" s="32"/>
      <c r="B28" s="2"/>
      <c r="C28" s="2"/>
    </row>
    <row r="29">
      <c r="A29" s="32"/>
      <c r="B29" s="2"/>
      <c r="C29" s="2"/>
    </row>
    <row r="30">
      <c r="A30" s="32"/>
      <c r="B30" s="2"/>
      <c r="C30" s="2"/>
    </row>
    <row r="31">
      <c r="A31" s="32"/>
      <c r="B31" s="2"/>
      <c r="C31" s="2"/>
    </row>
    <row r="32">
      <c r="A32" s="32"/>
      <c r="B32" s="2"/>
      <c r="C32" s="2"/>
    </row>
    <row r="33">
      <c r="A33" s="32"/>
      <c r="B33" s="2"/>
      <c r="C33" s="2"/>
    </row>
    <row r="34">
      <c r="A34" s="32"/>
      <c r="B34" s="2"/>
      <c r="C34" s="2"/>
    </row>
    <row r="35">
      <c r="A35" s="32"/>
      <c r="B35" s="2"/>
      <c r="C35" s="2"/>
    </row>
    <row r="36">
      <c r="A36" s="32"/>
      <c r="B36" s="2"/>
      <c r="C36" s="2"/>
    </row>
    <row r="37">
      <c r="A37" s="32"/>
      <c r="B37" s="2"/>
      <c r="C37" s="2"/>
    </row>
    <row r="38">
      <c r="A38" s="32"/>
      <c r="B38" s="2"/>
      <c r="C38" s="2"/>
    </row>
    <row r="39">
      <c r="A39" s="32"/>
      <c r="B39" s="2"/>
      <c r="C39" s="2"/>
    </row>
    <row r="40">
      <c r="A40" s="32"/>
      <c r="B40" s="2"/>
      <c r="C40" s="2"/>
    </row>
    <row r="41">
      <c r="A41" s="32"/>
      <c r="B41" s="2"/>
      <c r="C41" s="2"/>
    </row>
    <row r="42">
      <c r="A42" s="32"/>
      <c r="B42" s="2"/>
      <c r="C42" s="2"/>
    </row>
    <row r="43">
      <c r="A43" s="32"/>
      <c r="B43" s="2"/>
      <c r="C43" s="2"/>
    </row>
    <row r="44">
      <c r="A44" s="32"/>
      <c r="B44" s="2"/>
      <c r="C44" s="2"/>
    </row>
    <row r="45">
      <c r="A45" s="32"/>
      <c r="B45" s="2"/>
      <c r="C45" s="2"/>
    </row>
    <row r="46">
      <c r="A46" s="32"/>
      <c r="B46" s="2"/>
      <c r="C46" s="2"/>
    </row>
    <row r="47">
      <c r="A47" s="32"/>
      <c r="B47" s="2"/>
      <c r="C47" s="2"/>
    </row>
    <row r="48">
      <c r="A48" s="32"/>
      <c r="B48" s="2"/>
      <c r="C48" s="2"/>
    </row>
    <row r="49">
      <c r="A49" s="32"/>
      <c r="B49" s="2"/>
      <c r="C49" s="2"/>
    </row>
    <row r="50">
      <c r="A50" s="32"/>
      <c r="B50" s="2"/>
      <c r="C50" s="2"/>
    </row>
    <row r="51">
      <c r="A51" s="32"/>
      <c r="B51" s="2"/>
      <c r="C51" s="2"/>
    </row>
    <row r="52">
      <c r="A52" s="32"/>
      <c r="B52" s="2"/>
      <c r="C52" s="2"/>
    </row>
    <row r="53">
      <c r="A53" s="32"/>
      <c r="B53" s="2"/>
      <c r="C53" s="2"/>
    </row>
    <row r="54">
      <c r="A54" s="32"/>
      <c r="B54" s="2"/>
      <c r="C54" s="2"/>
    </row>
    <row r="55">
      <c r="A55" s="32"/>
      <c r="B55" s="2"/>
      <c r="C55" s="2"/>
    </row>
    <row r="56">
      <c r="A56" s="32"/>
      <c r="B56" s="2"/>
      <c r="C56" s="2"/>
    </row>
    <row r="57">
      <c r="A57" s="32"/>
      <c r="B57" s="2"/>
      <c r="C57" s="2"/>
    </row>
    <row r="58">
      <c r="A58" s="32"/>
      <c r="B58" s="2"/>
      <c r="C58" s="2"/>
    </row>
    <row r="59">
      <c r="A59" s="32"/>
      <c r="B59" s="2"/>
      <c r="C59" s="2"/>
    </row>
    <row r="60">
      <c r="A60" s="32"/>
      <c r="B60" s="2"/>
      <c r="C60" s="2"/>
    </row>
    <row r="61">
      <c r="A61" s="32"/>
      <c r="B61" s="2"/>
      <c r="C61" s="2"/>
    </row>
    <row r="62">
      <c r="A62" s="32"/>
      <c r="B62" s="2"/>
      <c r="C62" s="2"/>
    </row>
    <row r="63">
      <c r="A63" s="32"/>
      <c r="B63" s="2"/>
      <c r="C63" s="2"/>
    </row>
    <row r="64">
      <c r="A64" s="32"/>
      <c r="B64" s="2"/>
      <c r="C64" s="2"/>
    </row>
    <row r="65">
      <c r="A65" s="32"/>
      <c r="B65" s="2"/>
      <c r="C65" s="2"/>
    </row>
    <row r="66">
      <c r="A66" s="32"/>
      <c r="B66" s="2"/>
      <c r="C66" s="2"/>
    </row>
    <row r="67">
      <c r="A67" s="32"/>
      <c r="B67" s="2"/>
      <c r="C67" s="2"/>
    </row>
    <row r="68">
      <c r="A68" s="32"/>
      <c r="B68" s="2"/>
      <c r="C68" s="2"/>
    </row>
    <row r="69">
      <c r="A69" s="32"/>
      <c r="B69" s="2"/>
      <c r="C69" s="2"/>
    </row>
    <row r="70">
      <c r="A70" s="32"/>
      <c r="B70" s="2"/>
      <c r="C70" s="2"/>
    </row>
    <row r="71">
      <c r="A71" s="32"/>
      <c r="B71" s="2"/>
      <c r="C71" s="2"/>
    </row>
    <row r="72">
      <c r="A72" s="32"/>
      <c r="B72" s="2"/>
      <c r="C72" s="2"/>
    </row>
    <row r="73">
      <c r="A73" s="32"/>
      <c r="B73" s="2"/>
      <c r="C73" s="2"/>
    </row>
    <row r="74">
      <c r="A74" s="32"/>
      <c r="B74" s="2"/>
      <c r="C74" s="2"/>
    </row>
    <row r="75">
      <c r="A75" s="32"/>
      <c r="B75" s="2"/>
      <c r="C75" s="2"/>
    </row>
    <row r="76">
      <c r="A76" s="32"/>
      <c r="B76" s="2"/>
      <c r="C76" s="2"/>
    </row>
    <row r="77">
      <c r="A77" s="32"/>
      <c r="B77" s="2"/>
      <c r="C77" s="2"/>
    </row>
    <row r="78">
      <c r="A78" s="32"/>
      <c r="B78" s="2"/>
      <c r="C78" s="2"/>
    </row>
    <row r="79">
      <c r="A79" s="32"/>
      <c r="B79" s="2"/>
      <c r="C79" s="2"/>
    </row>
    <row r="80">
      <c r="A80" s="32"/>
      <c r="B80" s="2"/>
      <c r="C80" s="2"/>
    </row>
    <row r="81">
      <c r="A81" s="32"/>
      <c r="B81" s="2"/>
      <c r="C81" s="2"/>
    </row>
    <row r="82">
      <c r="A82" s="32"/>
      <c r="B82" s="2"/>
      <c r="C82" s="2"/>
    </row>
    <row r="83">
      <c r="A83" s="32"/>
      <c r="B83" s="2"/>
      <c r="C83" s="2"/>
    </row>
    <row r="84">
      <c r="A84" s="32"/>
      <c r="B84" s="2"/>
      <c r="C84" s="2"/>
    </row>
    <row r="85">
      <c r="A85" s="32"/>
      <c r="B85" s="2"/>
      <c r="C85" s="2"/>
    </row>
    <row r="86">
      <c r="A86" s="32"/>
      <c r="B86" s="2"/>
      <c r="C86" s="2"/>
    </row>
    <row r="87">
      <c r="A87" s="32"/>
      <c r="B87" s="2"/>
      <c r="C87" s="2"/>
    </row>
    <row r="88">
      <c r="A88" s="32"/>
      <c r="B88" s="2"/>
      <c r="C88" s="2"/>
    </row>
    <row r="89">
      <c r="A89" s="32"/>
      <c r="B89" s="2"/>
      <c r="C89" s="2"/>
    </row>
    <row r="90">
      <c r="A90" s="32"/>
      <c r="B90" s="2"/>
      <c r="C90" s="2"/>
    </row>
    <row r="91">
      <c r="A91" s="32"/>
      <c r="B91" s="2"/>
      <c r="C91" s="2"/>
    </row>
    <row r="92">
      <c r="A92" s="32"/>
      <c r="B92" s="2"/>
      <c r="C92" s="2"/>
    </row>
    <row r="93">
      <c r="A93" s="32"/>
      <c r="B93" s="2"/>
      <c r="C93" s="2"/>
    </row>
    <row r="94">
      <c r="A94" s="32"/>
      <c r="B94" s="2"/>
      <c r="C94" s="2"/>
    </row>
    <row r="95">
      <c r="A95" s="32"/>
      <c r="B95" s="2"/>
      <c r="C95" s="2"/>
    </row>
    <row r="96">
      <c r="A96" s="32"/>
      <c r="B96" s="2"/>
      <c r="C96" s="2"/>
    </row>
    <row r="97">
      <c r="A97" s="32"/>
      <c r="B97" s="2"/>
      <c r="C97" s="2"/>
    </row>
    <row r="98">
      <c r="A98" s="32"/>
      <c r="B98" s="2"/>
      <c r="C98" s="2"/>
    </row>
    <row r="99">
      <c r="A99" s="32"/>
      <c r="B99" s="2"/>
      <c r="C99" s="2"/>
    </row>
    <row r="100">
      <c r="A100" s="32"/>
      <c r="B100" s="2"/>
      <c r="C100" s="2"/>
    </row>
    <row r="101">
      <c r="A101" s="32"/>
      <c r="B101" s="2"/>
      <c r="C101" s="2"/>
    </row>
    <row r="102">
      <c r="A102" s="32"/>
      <c r="B102" s="2"/>
      <c r="C102" s="2"/>
    </row>
    <row r="103">
      <c r="A103" s="32"/>
      <c r="B103" s="2"/>
      <c r="C103" s="2"/>
    </row>
    <row r="104">
      <c r="A104" s="32"/>
      <c r="B104" s="2"/>
      <c r="C104" s="2"/>
    </row>
    <row r="105">
      <c r="A105" s="32"/>
      <c r="B105" s="2"/>
      <c r="C105" s="2"/>
    </row>
    <row r="106">
      <c r="A106" s="32"/>
      <c r="B106" s="2"/>
      <c r="C106" s="2"/>
    </row>
    <row r="107">
      <c r="A107" s="32"/>
      <c r="B107" s="2"/>
      <c r="C107" s="2"/>
    </row>
    <row r="108">
      <c r="A108" s="32"/>
      <c r="B108" s="2"/>
      <c r="C108" s="2"/>
    </row>
    <row r="109">
      <c r="A109" s="32"/>
      <c r="B109" s="2"/>
      <c r="C109" s="2"/>
    </row>
    <row r="110">
      <c r="A110" s="32"/>
      <c r="B110" s="2"/>
      <c r="C110" s="2"/>
    </row>
    <row r="111">
      <c r="A111" s="32"/>
      <c r="B111" s="2"/>
      <c r="C111" s="2"/>
    </row>
    <row r="112">
      <c r="A112" s="32"/>
      <c r="B112" s="2"/>
      <c r="C112" s="2"/>
    </row>
    <row r="113">
      <c r="A113" s="32"/>
      <c r="B113" s="2"/>
      <c r="C113" s="2"/>
    </row>
    <row r="114">
      <c r="A114" s="32"/>
      <c r="B114" s="2"/>
      <c r="C114" s="2"/>
    </row>
    <row r="115">
      <c r="A115" s="32"/>
      <c r="B115" s="2"/>
      <c r="C115" s="2"/>
    </row>
    <row r="116">
      <c r="A116" s="32"/>
      <c r="B116" s="2"/>
      <c r="C116" s="2"/>
    </row>
    <row r="117">
      <c r="A117" s="32"/>
      <c r="B117" s="2"/>
      <c r="C117" s="2"/>
    </row>
    <row r="118">
      <c r="A118" s="32"/>
      <c r="B118" s="2"/>
      <c r="C118" s="2"/>
    </row>
    <row r="119">
      <c r="A119" s="32"/>
      <c r="B119" s="2"/>
      <c r="C119" s="2"/>
    </row>
    <row r="120">
      <c r="A120" s="32"/>
      <c r="B120" s="2"/>
      <c r="C120" s="2"/>
    </row>
    <row r="121">
      <c r="A121" s="32"/>
      <c r="B121" s="2"/>
      <c r="C121" s="2"/>
    </row>
    <row r="122">
      <c r="A122" s="32"/>
      <c r="B122" s="2"/>
      <c r="C122" s="2"/>
    </row>
    <row r="123">
      <c r="A123" s="32"/>
      <c r="B123" s="2"/>
      <c r="C123" s="2"/>
    </row>
    <row r="124">
      <c r="A124" s="32"/>
      <c r="B124" s="2"/>
      <c r="C124" s="2"/>
    </row>
    <row r="125">
      <c r="A125" s="32"/>
      <c r="B125" s="2"/>
      <c r="C125" s="2"/>
    </row>
    <row r="126">
      <c r="A126" s="32"/>
      <c r="B126" s="2"/>
      <c r="C126" s="2"/>
    </row>
    <row r="127">
      <c r="A127" s="32"/>
      <c r="B127" s="2"/>
      <c r="C127" s="2"/>
    </row>
    <row r="128">
      <c r="A128" s="32"/>
      <c r="B128" s="2"/>
      <c r="C128" s="2"/>
    </row>
    <row r="129">
      <c r="A129" s="32"/>
      <c r="B129" s="2"/>
      <c r="C129" s="2"/>
    </row>
    <row r="130">
      <c r="A130" s="32"/>
      <c r="B130" s="2"/>
      <c r="C130" s="2"/>
    </row>
    <row r="131">
      <c r="A131" s="32"/>
      <c r="B131" s="2"/>
      <c r="C131" s="2"/>
    </row>
    <row r="132">
      <c r="A132" s="32"/>
      <c r="B132" s="2"/>
      <c r="C132" s="2"/>
    </row>
    <row r="133">
      <c r="A133" s="32"/>
      <c r="B133" s="2"/>
      <c r="C133" s="2"/>
    </row>
    <row r="134">
      <c r="A134" s="32"/>
      <c r="B134" s="2"/>
      <c r="C134" s="2"/>
    </row>
    <row r="135">
      <c r="A135" s="32"/>
      <c r="B135" s="2"/>
      <c r="C135" s="2"/>
    </row>
    <row r="136">
      <c r="A136" s="32"/>
      <c r="B136" s="2"/>
      <c r="C136" s="2"/>
    </row>
    <row r="137">
      <c r="A137" s="32"/>
      <c r="B137" s="2"/>
      <c r="C137" s="2"/>
    </row>
    <row r="138">
      <c r="A138" s="32"/>
      <c r="B138" s="2"/>
      <c r="C138" s="2"/>
    </row>
    <row r="139">
      <c r="A139" s="32"/>
      <c r="B139" s="2"/>
      <c r="C139" s="2"/>
    </row>
    <row r="140">
      <c r="A140" s="32"/>
      <c r="B140" s="2"/>
      <c r="C140" s="2"/>
    </row>
    <row r="141">
      <c r="A141" s="32"/>
      <c r="B141" s="2"/>
      <c r="C141" s="2"/>
    </row>
    <row r="142">
      <c r="A142" s="32"/>
      <c r="B142" s="2"/>
      <c r="C142" s="2"/>
    </row>
    <row r="143">
      <c r="A143" s="32"/>
      <c r="B143" s="2"/>
      <c r="C143" s="2"/>
    </row>
    <row r="144">
      <c r="A144" s="32"/>
      <c r="B144" s="2"/>
      <c r="C144" s="2"/>
    </row>
    <row r="145">
      <c r="A145" s="32"/>
      <c r="B145" s="2"/>
      <c r="C145" s="2"/>
    </row>
    <row r="146">
      <c r="A146" s="32"/>
      <c r="B146" s="2"/>
      <c r="C146" s="2"/>
    </row>
    <row r="147">
      <c r="A147" s="32"/>
      <c r="B147" s="2"/>
      <c r="C147" s="2"/>
    </row>
    <row r="148">
      <c r="A148" s="32"/>
      <c r="B148" s="2"/>
      <c r="C148" s="2"/>
    </row>
    <row r="149">
      <c r="A149" s="32"/>
      <c r="B149" s="2"/>
      <c r="C149" s="2"/>
    </row>
    <row r="150">
      <c r="A150" s="32"/>
      <c r="B150" s="2"/>
      <c r="C150" s="2"/>
    </row>
    <row r="151">
      <c r="A151" s="32"/>
      <c r="B151" s="2"/>
      <c r="C151" s="2"/>
    </row>
    <row r="152">
      <c r="A152" s="32"/>
      <c r="B152" s="2"/>
      <c r="C152" s="2"/>
    </row>
    <row r="153">
      <c r="A153" s="32"/>
      <c r="B153" s="2"/>
      <c r="C153" s="2"/>
    </row>
    <row r="154">
      <c r="A154" s="32"/>
      <c r="B154" s="2"/>
      <c r="C154" s="2"/>
    </row>
    <row r="155">
      <c r="A155" s="32"/>
      <c r="B155" s="2"/>
      <c r="C155" s="2"/>
    </row>
    <row r="156">
      <c r="A156" s="32"/>
      <c r="B156" s="2"/>
      <c r="C156" s="2"/>
    </row>
    <row r="157">
      <c r="A157" s="32"/>
      <c r="B157" s="2"/>
      <c r="C157" s="2"/>
    </row>
    <row r="158">
      <c r="A158" s="32"/>
      <c r="B158" s="2"/>
      <c r="C158" s="2"/>
    </row>
    <row r="159">
      <c r="A159" s="32"/>
      <c r="B159" s="2"/>
      <c r="C159" s="2"/>
    </row>
    <row r="160">
      <c r="A160" s="32"/>
      <c r="B160" s="2"/>
      <c r="C160" s="2"/>
    </row>
    <row r="161">
      <c r="A161" s="32"/>
      <c r="B161" s="2"/>
      <c r="C161" s="2"/>
    </row>
    <row r="162">
      <c r="A162" s="32"/>
      <c r="B162" s="2"/>
      <c r="C162" s="2"/>
    </row>
    <row r="163">
      <c r="A163" s="32"/>
      <c r="B163" s="2"/>
      <c r="C163" s="2"/>
    </row>
    <row r="164">
      <c r="A164" s="32"/>
      <c r="B164" s="2"/>
      <c r="C164" s="2"/>
    </row>
    <row r="165">
      <c r="A165" s="32"/>
      <c r="B165" s="2"/>
      <c r="C165" s="2"/>
    </row>
    <row r="166">
      <c r="A166" s="32"/>
      <c r="B166" s="2"/>
      <c r="C166" s="2"/>
    </row>
    <row r="167">
      <c r="A167" s="32"/>
      <c r="B167" s="2"/>
      <c r="C167" s="2"/>
    </row>
    <row r="168">
      <c r="A168" s="32"/>
      <c r="B168" s="2"/>
      <c r="C168" s="2"/>
    </row>
    <row r="169">
      <c r="A169" s="32"/>
      <c r="B169" s="2"/>
      <c r="C169" s="2"/>
    </row>
    <row r="170">
      <c r="A170" s="32"/>
      <c r="B170" s="2"/>
      <c r="C170" s="2"/>
    </row>
    <row r="171">
      <c r="A171" s="32"/>
      <c r="B171" s="2"/>
      <c r="C171" s="2"/>
    </row>
    <row r="172">
      <c r="A172" s="32"/>
      <c r="B172" s="2"/>
      <c r="C172" s="2"/>
    </row>
    <row r="173">
      <c r="A173" s="32"/>
      <c r="B173" s="2"/>
      <c r="C173" s="2"/>
    </row>
    <row r="174">
      <c r="A174" s="32"/>
      <c r="B174" s="2"/>
      <c r="C174" s="2"/>
    </row>
    <row r="175">
      <c r="A175" s="32"/>
      <c r="B175" s="2"/>
      <c r="C175" s="2"/>
    </row>
    <row r="176">
      <c r="A176" s="32"/>
      <c r="B176" s="2"/>
      <c r="C176" s="2"/>
    </row>
    <row r="177">
      <c r="A177" s="32"/>
      <c r="B177" s="2"/>
      <c r="C177" s="2"/>
    </row>
    <row r="178">
      <c r="A178" s="32"/>
      <c r="B178" s="2"/>
      <c r="C178" s="2"/>
    </row>
    <row r="179">
      <c r="A179" s="32"/>
      <c r="B179" s="2"/>
      <c r="C179" s="2"/>
    </row>
    <row r="180">
      <c r="A180" s="32"/>
      <c r="B180" s="2"/>
      <c r="C180" s="2"/>
    </row>
    <row r="181">
      <c r="A181" s="32"/>
      <c r="B181" s="2"/>
      <c r="C181" s="2"/>
    </row>
    <row r="182">
      <c r="A182" s="32"/>
      <c r="B182" s="2"/>
      <c r="C182" s="2"/>
    </row>
    <row r="183">
      <c r="A183" s="32"/>
      <c r="B183" s="2"/>
      <c r="C183" s="2"/>
    </row>
    <row r="184">
      <c r="A184" s="32"/>
      <c r="B184" s="2"/>
      <c r="C184" s="2"/>
    </row>
    <row r="185">
      <c r="A185" s="32"/>
      <c r="B185" s="2"/>
      <c r="C185" s="2"/>
    </row>
    <row r="186">
      <c r="A186" s="32"/>
      <c r="B186" s="2"/>
      <c r="C186" s="2"/>
    </row>
    <row r="187">
      <c r="A187" s="32"/>
      <c r="B187" s="2"/>
      <c r="C187" s="2"/>
    </row>
    <row r="188">
      <c r="A188" s="32"/>
      <c r="B188" s="2"/>
      <c r="C188" s="2"/>
    </row>
    <row r="189">
      <c r="A189" s="32"/>
      <c r="B189" s="2"/>
      <c r="C189" s="2"/>
    </row>
    <row r="190">
      <c r="A190" s="32"/>
      <c r="B190" s="2"/>
      <c r="C190" s="2"/>
    </row>
    <row r="191">
      <c r="A191" s="32"/>
      <c r="B191" s="2"/>
      <c r="C191" s="2"/>
    </row>
    <row r="192">
      <c r="A192" s="32"/>
      <c r="B192" s="2"/>
      <c r="C192" s="2"/>
    </row>
    <row r="193">
      <c r="A193" s="32"/>
      <c r="B193" s="2"/>
      <c r="C193" s="2"/>
    </row>
    <row r="194">
      <c r="A194" s="32"/>
      <c r="B194" s="2"/>
      <c r="C194" s="2"/>
    </row>
    <row r="195">
      <c r="A195" s="32"/>
      <c r="B195" s="2"/>
      <c r="C195" s="2"/>
    </row>
    <row r="196">
      <c r="A196" s="32"/>
      <c r="B196" s="2"/>
      <c r="C196" s="2"/>
    </row>
    <row r="197">
      <c r="A197" s="32"/>
      <c r="B197" s="2"/>
      <c r="C197" s="2"/>
    </row>
    <row r="198">
      <c r="A198" s="32"/>
      <c r="B198" s="2"/>
      <c r="C198" s="2"/>
    </row>
    <row r="199">
      <c r="A199" s="32"/>
      <c r="B199" s="2"/>
      <c r="C199" s="2"/>
    </row>
    <row r="200">
      <c r="A200" s="32"/>
      <c r="B200" s="2"/>
      <c r="C200" s="2"/>
    </row>
    <row r="201">
      <c r="A201" s="32"/>
      <c r="B201" s="2"/>
      <c r="C201" s="2"/>
    </row>
    <row r="202">
      <c r="A202" s="32"/>
      <c r="B202" s="2"/>
      <c r="C202" s="2"/>
    </row>
    <row r="203">
      <c r="A203" s="32"/>
      <c r="B203" s="2"/>
      <c r="C203" s="2"/>
    </row>
    <row r="204">
      <c r="A204" s="32"/>
      <c r="B204" s="2"/>
      <c r="C204" s="2"/>
    </row>
    <row r="205">
      <c r="A205" s="32"/>
      <c r="B205" s="2"/>
      <c r="C205" s="2"/>
    </row>
    <row r="206">
      <c r="A206" s="32"/>
      <c r="B206" s="2"/>
      <c r="C206" s="2"/>
    </row>
    <row r="207">
      <c r="A207" s="32"/>
      <c r="B207" s="2"/>
      <c r="C207" s="2"/>
    </row>
    <row r="208">
      <c r="A208" s="32"/>
      <c r="B208" s="2"/>
      <c r="C208" s="2"/>
    </row>
    <row r="209">
      <c r="A209" s="32"/>
      <c r="B209" s="2"/>
      <c r="C209" s="2"/>
    </row>
    <row r="210">
      <c r="A210" s="32"/>
      <c r="B210" s="2"/>
      <c r="C210" s="2"/>
    </row>
    <row r="211">
      <c r="A211" s="32"/>
      <c r="B211" s="2"/>
      <c r="C211" s="2"/>
    </row>
    <row r="212">
      <c r="A212" s="32"/>
      <c r="B212" s="2"/>
      <c r="C212" s="2"/>
    </row>
    <row r="213">
      <c r="A213" s="32"/>
      <c r="B213" s="2"/>
      <c r="C213" s="2"/>
    </row>
    <row r="214">
      <c r="A214" s="32"/>
      <c r="B214" s="2"/>
      <c r="C214" s="2"/>
    </row>
    <row r="215">
      <c r="A215" s="32"/>
      <c r="B215" s="2"/>
      <c r="C215" s="2"/>
    </row>
    <row r="216">
      <c r="A216" s="32"/>
      <c r="B216" s="2"/>
      <c r="C216" s="2"/>
    </row>
    <row r="217">
      <c r="A217" s="32"/>
      <c r="B217" s="2"/>
      <c r="C217" s="2"/>
    </row>
    <row r="218">
      <c r="A218" s="32"/>
      <c r="B218" s="2"/>
      <c r="C218" s="2"/>
    </row>
    <row r="219">
      <c r="A219" s="32"/>
      <c r="B219" s="2"/>
      <c r="C219" s="2"/>
    </row>
    <row r="220">
      <c r="A220" s="32"/>
      <c r="B220" s="2"/>
      <c r="C220" s="2"/>
    </row>
    <row r="221">
      <c r="A221" s="32"/>
      <c r="B221" s="2"/>
      <c r="C221" s="2"/>
    </row>
    <row r="222">
      <c r="A222" s="32"/>
      <c r="B222" s="2"/>
      <c r="C222" s="2"/>
    </row>
    <row r="223">
      <c r="A223" s="32"/>
      <c r="B223" s="2"/>
      <c r="C223" s="2"/>
    </row>
    <row r="224">
      <c r="A224" s="32"/>
      <c r="B224" s="2"/>
      <c r="C224" s="2"/>
    </row>
    <row r="225">
      <c r="A225" s="32"/>
      <c r="B225" s="2"/>
      <c r="C225" s="2"/>
    </row>
    <row r="226">
      <c r="A226" s="32"/>
      <c r="B226" s="2"/>
      <c r="C226" s="2"/>
    </row>
    <row r="227">
      <c r="A227" s="32"/>
      <c r="B227" s="2"/>
      <c r="C227" s="2"/>
    </row>
    <row r="228">
      <c r="A228" s="32"/>
      <c r="B228" s="2"/>
      <c r="C228" s="2"/>
    </row>
    <row r="229">
      <c r="A229" s="32"/>
      <c r="B229" s="2"/>
      <c r="C229" s="2"/>
    </row>
    <row r="230">
      <c r="A230" s="32"/>
      <c r="B230" s="2"/>
      <c r="C230" s="2"/>
    </row>
    <row r="231">
      <c r="A231" s="32"/>
      <c r="B231" s="2"/>
      <c r="C231" s="2"/>
    </row>
    <row r="232">
      <c r="A232" s="32"/>
      <c r="B232" s="2"/>
      <c r="C232" s="2"/>
    </row>
    <row r="233">
      <c r="A233" s="32"/>
      <c r="B233" s="2"/>
      <c r="C233" s="2"/>
    </row>
    <row r="234">
      <c r="A234" s="32"/>
      <c r="B234" s="2"/>
      <c r="C234" s="2"/>
    </row>
    <row r="235">
      <c r="A235" s="32"/>
      <c r="B235" s="2"/>
      <c r="C235" s="2"/>
    </row>
    <row r="236">
      <c r="A236" s="32"/>
      <c r="B236" s="2"/>
      <c r="C236" s="2"/>
    </row>
    <row r="237">
      <c r="A237" s="32"/>
      <c r="B237" s="2"/>
      <c r="C237" s="2"/>
    </row>
    <row r="238">
      <c r="A238" s="32"/>
      <c r="B238" s="2"/>
      <c r="C238" s="2"/>
    </row>
    <row r="239">
      <c r="A239" s="32"/>
      <c r="B239" s="2"/>
      <c r="C239" s="2"/>
    </row>
    <row r="240">
      <c r="A240" s="32"/>
      <c r="B240" s="2"/>
      <c r="C240" s="2"/>
    </row>
    <row r="241">
      <c r="A241" s="32"/>
      <c r="B241" s="2"/>
      <c r="C241" s="2"/>
    </row>
    <row r="242">
      <c r="A242" s="32"/>
      <c r="B242" s="2"/>
      <c r="C242" s="2"/>
    </row>
    <row r="243">
      <c r="A243" s="32"/>
      <c r="B243" s="2"/>
      <c r="C243" s="2"/>
    </row>
    <row r="244">
      <c r="A244" s="32"/>
      <c r="B244" s="2"/>
      <c r="C244" s="2"/>
    </row>
    <row r="245">
      <c r="A245" s="32"/>
      <c r="B245" s="2"/>
      <c r="C245" s="2"/>
    </row>
    <row r="246">
      <c r="A246" s="32"/>
      <c r="B246" s="2"/>
      <c r="C246" s="2"/>
    </row>
    <row r="247">
      <c r="A247" s="32"/>
      <c r="B247" s="2"/>
      <c r="C247" s="2"/>
    </row>
    <row r="248">
      <c r="A248" s="32"/>
      <c r="B248" s="2"/>
      <c r="C248" s="2"/>
    </row>
    <row r="249">
      <c r="A249" s="32"/>
      <c r="B249" s="2"/>
      <c r="C249" s="2"/>
    </row>
    <row r="250">
      <c r="A250" s="32"/>
      <c r="B250" s="2"/>
      <c r="C250" s="2"/>
    </row>
    <row r="251">
      <c r="A251" s="32"/>
      <c r="B251" s="2"/>
      <c r="C251" s="2"/>
    </row>
    <row r="252">
      <c r="A252" s="32"/>
      <c r="B252" s="2"/>
      <c r="C252" s="2"/>
    </row>
    <row r="253">
      <c r="A253" s="32"/>
      <c r="B253" s="2"/>
      <c r="C253" s="2"/>
    </row>
    <row r="254">
      <c r="A254" s="32"/>
      <c r="B254" s="2"/>
      <c r="C254" s="2"/>
    </row>
    <row r="255">
      <c r="A255" s="32"/>
      <c r="B255" s="2"/>
      <c r="C255" s="2"/>
    </row>
    <row r="256">
      <c r="A256" s="32"/>
      <c r="B256" s="2"/>
      <c r="C256" s="2"/>
    </row>
    <row r="257">
      <c r="A257" s="32"/>
      <c r="B257" s="2"/>
      <c r="C257" s="2"/>
    </row>
    <row r="258">
      <c r="A258" s="32"/>
      <c r="B258" s="2"/>
      <c r="C258" s="2"/>
    </row>
    <row r="259">
      <c r="A259" s="32"/>
      <c r="B259" s="2"/>
      <c r="C259" s="2"/>
    </row>
    <row r="260">
      <c r="A260" s="32"/>
      <c r="B260" s="2"/>
      <c r="C260" s="2"/>
    </row>
    <row r="261">
      <c r="A261" s="32"/>
      <c r="B261" s="2"/>
      <c r="C261" s="2"/>
    </row>
    <row r="262">
      <c r="A262" s="32"/>
      <c r="B262" s="2"/>
      <c r="C262" s="2"/>
    </row>
    <row r="263">
      <c r="A263" s="32"/>
      <c r="B263" s="2"/>
      <c r="C263" s="2"/>
    </row>
    <row r="264">
      <c r="A264" s="32"/>
      <c r="B264" s="2"/>
      <c r="C264" s="2"/>
    </row>
    <row r="265">
      <c r="A265" s="32"/>
      <c r="B265" s="2"/>
      <c r="C265" s="2"/>
    </row>
    <row r="266">
      <c r="A266" s="32"/>
      <c r="B266" s="2"/>
      <c r="C266" s="2"/>
    </row>
    <row r="267">
      <c r="A267" s="32"/>
      <c r="B267" s="2"/>
      <c r="C267" s="2"/>
    </row>
    <row r="268">
      <c r="A268" s="32"/>
      <c r="B268" s="2"/>
      <c r="C268" s="2"/>
    </row>
    <row r="269">
      <c r="A269" s="32"/>
      <c r="B269" s="2"/>
      <c r="C269" s="2"/>
    </row>
    <row r="270">
      <c r="A270" s="32"/>
      <c r="B270" s="2"/>
      <c r="C270" s="2"/>
    </row>
    <row r="271">
      <c r="A271" s="32"/>
      <c r="B271" s="2"/>
      <c r="C271" s="2"/>
    </row>
    <row r="272">
      <c r="A272" s="32"/>
      <c r="B272" s="2"/>
      <c r="C272" s="2"/>
    </row>
    <row r="273">
      <c r="A273" s="32"/>
      <c r="B273" s="2"/>
      <c r="C273" s="2"/>
    </row>
    <row r="274">
      <c r="A274" s="32"/>
      <c r="B274" s="2"/>
      <c r="C274" s="2"/>
    </row>
    <row r="275">
      <c r="A275" s="32"/>
      <c r="B275" s="2"/>
      <c r="C275" s="2"/>
    </row>
    <row r="276">
      <c r="A276" s="32"/>
      <c r="B276" s="2"/>
      <c r="C276" s="2"/>
    </row>
    <row r="277">
      <c r="A277" s="32"/>
      <c r="B277" s="2"/>
      <c r="C277" s="2"/>
    </row>
    <row r="278">
      <c r="A278" s="32"/>
      <c r="B278" s="2"/>
      <c r="C278" s="2"/>
    </row>
    <row r="279">
      <c r="A279" s="32"/>
      <c r="B279" s="2"/>
      <c r="C279" s="2"/>
    </row>
    <row r="280">
      <c r="A280" s="32"/>
      <c r="B280" s="2"/>
      <c r="C280" s="2"/>
    </row>
    <row r="281">
      <c r="A281" s="32"/>
      <c r="B281" s="2"/>
      <c r="C281" s="2"/>
    </row>
    <row r="282">
      <c r="A282" s="32"/>
      <c r="B282" s="2"/>
      <c r="C282" s="2"/>
    </row>
    <row r="283">
      <c r="A283" s="32"/>
      <c r="B283" s="2"/>
      <c r="C283" s="2"/>
    </row>
    <row r="284">
      <c r="A284" s="32"/>
      <c r="B284" s="2"/>
      <c r="C284" s="2"/>
    </row>
    <row r="285">
      <c r="A285" s="32"/>
      <c r="B285" s="2"/>
      <c r="C285" s="2"/>
    </row>
    <row r="286">
      <c r="A286" s="32"/>
      <c r="B286" s="2"/>
      <c r="C286" s="2"/>
    </row>
    <row r="287">
      <c r="A287" s="32"/>
      <c r="B287" s="2"/>
      <c r="C287" s="2"/>
    </row>
    <row r="288">
      <c r="A288" s="32"/>
      <c r="B288" s="2"/>
      <c r="C288" s="2"/>
    </row>
    <row r="289">
      <c r="A289" s="32"/>
      <c r="B289" s="2"/>
      <c r="C289" s="2"/>
    </row>
    <row r="290">
      <c r="A290" s="32"/>
      <c r="B290" s="2"/>
      <c r="C290" s="2"/>
    </row>
    <row r="291">
      <c r="A291" s="32"/>
      <c r="B291" s="2"/>
      <c r="C291" s="2"/>
    </row>
    <row r="292">
      <c r="A292" s="32"/>
      <c r="B292" s="2"/>
      <c r="C292" s="2"/>
    </row>
    <row r="293">
      <c r="A293" s="32"/>
      <c r="B293" s="2"/>
      <c r="C293" s="2"/>
    </row>
    <row r="294">
      <c r="A294" s="32"/>
      <c r="B294" s="2"/>
      <c r="C294" s="2"/>
    </row>
    <row r="295">
      <c r="A295" s="32"/>
      <c r="B295" s="2"/>
      <c r="C295" s="2"/>
    </row>
    <row r="296">
      <c r="A296" s="32"/>
      <c r="B296" s="2"/>
      <c r="C296" s="2"/>
    </row>
    <row r="297">
      <c r="A297" s="32"/>
      <c r="B297" s="2"/>
      <c r="C297" s="2"/>
    </row>
    <row r="298">
      <c r="A298" s="32"/>
      <c r="B298" s="2"/>
      <c r="C298" s="2"/>
    </row>
    <row r="299">
      <c r="A299" s="32"/>
      <c r="B299" s="2"/>
      <c r="C299" s="2"/>
    </row>
    <row r="300">
      <c r="A300" s="32"/>
      <c r="B300" s="2"/>
      <c r="C300" s="2"/>
    </row>
    <row r="301">
      <c r="A301" s="32"/>
      <c r="B301" s="2"/>
      <c r="C301" s="2"/>
    </row>
    <row r="302">
      <c r="A302" s="32"/>
      <c r="B302" s="2"/>
      <c r="C302" s="2"/>
    </row>
    <row r="303">
      <c r="A303" s="32"/>
      <c r="B303" s="2"/>
      <c r="C303" s="2"/>
    </row>
    <row r="304">
      <c r="A304" s="32"/>
      <c r="B304" s="2"/>
      <c r="C304" s="2"/>
    </row>
    <row r="305">
      <c r="A305" s="32"/>
      <c r="B305" s="2"/>
      <c r="C305" s="2"/>
    </row>
    <row r="306">
      <c r="A306" s="32"/>
      <c r="B306" s="2"/>
      <c r="C306" s="2"/>
    </row>
    <row r="307">
      <c r="A307" s="32"/>
      <c r="B307" s="2"/>
      <c r="C307" s="2"/>
    </row>
    <row r="308">
      <c r="A308" s="32"/>
      <c r="B308" s="2"/>
      <c r="C308" s="2"/>
    </row>
    <row r="309">
      <c r="A309" s="32"/>
      <c r="B309" s="2"/>
      <c r="C309" s="2"/>
    </row>
    <row r="310">
      <c r="A310" s="32"/>
      <c r="B310" s="2"/>
      <c r="C310" s="2"/>
    </row>
    <row r="311">
      <c r="A311" s="32"/>
      <c r="B311" s="2"/>
      <c r="C311" s="2"/>
    </row>
    <row r="312">
      <c r="A312" s="32"/>
      <c r="B312" s="2"/>
      <c r="C312" s="2"/>
    </row>
    <row r="313">
      <c r="A313" s="32"/>
      <c r="B313" s="2"/>
      <c r="C313" s="2"/>
    </row>
    <row r="314">
      <c r="A314" s="32"/>
      <c r="B314" s="2"/>
      <c r="C314" s="2"/>
    </row>
    <row r="315">
      <c r="A315" s="32"/>
      <c r="B315" s="2"/>
      <c r="C315" s="2"/>
    </row>
    <row r="316">
      <c r="A316" s="32"/>
      <c r="B316" s="2"/>
      <c r="C316" s="2"/>
    </row>
    <row r="317">
      <c r="A317" s="32"/>
      <c r="B317" s="2"/>
      <c r="C317" s="2"/>
    </row>
    <row r="318">
      <c r="A318" s="32"/>
      <c r="B318" s="2"/>
      <c r="C318" s="2"/>
    </row>
    <row r="319">
      <c r="A319" s="32"/>
      <c r="B319" s="2"/>
      <c r="C319" s="2"/>
    </row>
    <row r="320">
      <c r="A320" s="32"/>
      <c r="B320" s="2"/>
      <c r="C320" s="2"/>
    </row>
    <row r="321">
      <c r="A321" s="32"/>
      <c r="B321" s="2"/>
      <c r="C321" s="2"/>
    </row>
    <row r="322">
      <c r="A322" s="32"/>
      <c r="B322" s="2"/>
      <c r="C322" s="2"/>
    </row>
    <row r="323">
      <c r="A323" s="32"/>
      <c r="B323" s="2"/>
      <c r="C323" s="2"/>
    </row>
    <row r="324">
      <c r="A324" s="32"/>
      <c r="B324" s="2"/>
      <c r="C324" s="2"/>
    </row>
    <row r="325">
      <c r="A325" s="32"/>
      <c r="B325" s="2"/>
      <c r="C325" s="2"/>
    </row>
    <row r="326">
      <c r="A326" s="32"/>
      <c r="B326" s="2"/>
      <c r="C326" s="2"/>
    </row>
    <row r="327">
      <c r="A327" s="32"/>
      <c r="B327" s="2"/>
      <c r="C327" s="2"/>
    </row>
    <row r="328">
      <c r="A328" s="32"/>
      <c r="B328" s="2"/>
      <c r="C328" s="2"/>
    </row>
    <row r="329">
      <c r="A329" s="32"/>
      <c r="B329" s="2"/>
      <c r="C329" s="2"/>
    </row>
    <row r="330">
      <c r="A330" s="32"/>
      <c r="B330" s="2"/>
      <c r="C330" s="2"/>
    </row>
    <row r="331">
      <c r="A331" s="32"/>
      <c r="B331" s="2"/>
      <c r="C331" s="2"/>
    </row>
    <row r="332">
      <c r="A332" s="32"/>
      <c r="B332" s="2"/>
      <c r="C332" s="2"/>
    </row>
    <row r="333">
      <c r="A333" s="32"/>
      <c r="B333" s="2"/>
      <c r="C333" s="2"/>
    </row>
    <row r="334">
      <c r="A334" s="32"/>
      <c r="B334" s="2"/>
      <c r="C334" s="2"/>
    </row>
    <row r="335">
      <c r="A335" s="32"/>
      <c r="B335" s="2"/>
      <c r="C335" s="2"/>
    </row>
    <row r="336">
      <c r="A336" s="32"/>
      <c r="B336" s="2"/>
      <c r="C336" s="2"/>
    </row>
    <row r="337">
      <c r="A337" s="32"/>
      <c r="B337" s="2"/>
      <c r="C337" s="2"/>
    </row>
    <row r="338">
      <c r="A338" s="32"/>
      <c r="B338" s="2"/>
      <c r="C338" s="2"/>
    </row>
    <row r="339">
      <c r="A339" s="32"/>
      <c r="B339" s="2"/>
      <c r="C339" s="2"/>
    </row>
    <row r="340">
      <c r="A340" s="32"/>
      <c r="B340" s="2"/>
      <c r="C340" s="2"/>
    </row>
    <row r="341">
      <c r="A341" s="32"/>
      <c r="B341" s="2"/>
      <c r="C341" s="2"/>
    </row>
    <row r="342">
      <c r="A342" s="32"/>
      <c r="B342" s="2"/>
      <c r="C342" s="2"/>
    </row>
    <row r="343">
      <c r="A343" s="32"/>
      <c r="B343" s="2"/>
      <c r="C343" s="2"/>
    </row>
    <row r="344">
      <c r="A344" s="32"/>
      <c r="B344" s="2"/>
      <c r="C344" s="2"/>
    </row>
    <row r="345">
      <c r="A345" s="32"/>
      <c r="B345" s="2"/>
      <c r="C345" s="2"/>
    </row>
    <row r="346">
      <c r="A346" s="32"/>
      <c r="B346" s="2"/>
      <c r="C346" s="2"/>
    </row>
    <row r="347">
      <c r="A347" s="32"/>
      <c r="B347" s="2"/>
      <c r="C347" s="2"/>
    </row>
    <row r="348">
      <c r="A348" s="32"/>
      <c r="B348" s="2"/>
      <c r="C348" s="2"/>
    </row>
    <row r="349">
      <c r="A349" s="32"/>
      <c r="B349" s="2"/>
      <c r="C349" s="2"/>
    </row>
    <row r="350">
      <c r="A350" s="32"/>
      <c r="B350" s="2"/>
      <c r="C350" s="2"/>
    </row>
    <row r="351">
      <c r="A351" s="32"/>
      <c r="B351" s="2"/>
      <c r="C351" s="2"/>
    </row>
    <row r="352">
      <c r="A352" s="32"/>
      <c r="B352" s="2"/>
      <c r="C352" s="2"/>
    </row>
    <row r="353">
      <c r="A353" s="32"/>
      <c r="B353" s="2"/>
      <c r="C353" s="2"/>
    </row>
    <row r="354">
      <c r="A354" s="32"/>
      <c r="B354" s="2"/>
      <c r="C354" s="2"/>
    </row>
    <row r="355">
      <c r="A355" s="32"/>
      <c r="B355" s="2"/>
      <c r="C355" s="2"/>
    </row>
    <row r="356">
      <c r="A356" s="32"/>
      <c r="B356" s="2"/>
      <c r="C356" s="2"/>
    </row>
    <row r="357">
      <c r="A357" s="32"/>
      <c r="B357" s="2"/>
      <c r="C357" s="2"/>
    </row>
    <row r="358">
      <c r="A358" s="32"/>
      <c r="B358" s="2"/>
      <c r="C358" s="2"/>
    </row>
    <row r="359">
      <c r="A359" s="32"/>
      <c r="B359" s="2"/>
      <c r="C359" s="2"/>
    </row>
    <row r="360">
      <c r="A360" s="32"/>
      <c r="B360" s="2"/>
      <c r="C360" s="2"/>
    </row>
    <row r="361">
      <c r="A361" s="32"/>
      <c r="B361" s="2"/>
      <c r="C361" s="2"/>
    </row>
    <row r="362">
      <c r="A362" s="32"/>
      <c r="B362" s="2"/>
      <c r="C362" s="2"/>
    </row>
    <row r="363">
      <c r="A363" s="32"/>
      <c r="B363" s="2"/>
      <c r="C363" s="2"/>
    </row>
    <row r="364">
      <c r="A364" s="32"/>
      <c r="B364" s="2"/>
      <c r="C364" s="2"/>
    </row>
    <row r="365">
      <c r="A365" s="32"/>
      <c r="B365" s="2"/>
      <c r="C365" s="2"/>
    </row>
    <row r="366">
      <c r="A366" s="32"/>
      <c r="B366" s="2"/>
      <c r="C366" s="2"/>
    </row>
    <row r="367">
      <c r="A367" s="32"/>
      <c r="B367" s="2"/>
      <c r="C367" s="2"/>
    </row>
    <row r="368">
      <c r="A368" s="32"/>
      <c r="B368" s="2"/>
      <c r="C368" s="2"/>
    </row>
    <row r="369">
      <c r="A369" s="32"/>
      <c r="B369" s="2"/>
      <c r="C369" s="2"/>
    </row>
    <row r="370">
      <c r="A370" s="32"/>
      <c r="B370" s="2"/>
      <c r="C370" s="2"/>
    </row>
    <row r="371">
      <c r="A371" s="32"/>
      <c r="B371" s="2"/>
      <c r="C371" s="2"/>
    </row>
    <row r="372">
      <c r="A372" s="32"/>
      <c r="B372" s="2"/>
      <c r="C372" s="2"/>
    </row>
    <row r="373">
      <c r="A373" s="32"/>
      <c r="B373" s="2"/>
      <c r="C373" s="2"/>
    </row>
    <row r="374">
      <c r="A374" s="32"/>
      <c r="B374" s="2"/>
      <c r="C374" s="2"/>
    </row>
    <row r="375">
      <c r="A375" s="32"/>
      <c r="B375" s="2"/>
      <c r="C375" s="2"/>
    </row>
    <row r="376">
      <c r="A376" s="32"/>
      <c r="B376" s="2"/>
      <c r="C376" s="2"/>
    </row>
    <row r="377">
      <c r="A377" s="32"/>
      <c r="B377" s="2"/>
      <c r="C377" s="2"/>
    </row>
    <row r="378">
      <c r="A378" s="32"/>
      <c r="B378" s="2"/>
      <c r="C378" s="2"/>
    </row>
    <row r="379">
      <c r="A379" s="32"/>
      <c r="B379" s="2"/>
      <c r="C379" s="2"/>
    </row>
    <row r="380">
      <c r="A380" s="32"/>
      <c r="B380" s="2"/>
      <c r="C380" s="2"/>
    </row>
    <row r="381">
      <c r="A381" s="32"/>
      <c r="B381" s="2"/>
      <c r="C381" s="2"/>
    </row>
    <row r="382">
      <c r="A382" s="32"/>
      <c r="B382" s="2"/>
      <c r="C382" s="2"/>
    </row>
    <row r="383">
      <c r="A383" s="32"/>
      <c r="B383" s="2"/>
      <c r="C383" s="2"/>
    </row>
    <row r="384">
      <c r="A384" s="32"/>
      <c r="B384" s="2"/>
      <c r="C384" s="2"/>
    </row>
    <row r="385">
      <c r="A385" s="32"/>
      <c r="B385" s="2"/>
      <c r="C385" s="2"/>
    </row>
    <row r="386">
      <c r="A386" s="32"/>
      <c r="B386" s="2"/>
      <c r="C386" s="2"/>
    </row>
    <row r="387">
      <c r="A387" s="32"/>
      <c r="B387" s="2"/>
      <c r="C387" s="2"/>
    </row>
    <row r="388">
      <c r="A388" s="32"/>
      <c r="B388" s="2"/>
      <c r="C388" s="2"/>
    </row>
    <row r="389">
      <c r="A389" s="32"/>
      <c r="B389" s="2"/>
      <c r="C389" s="2"/>
    </row>
    <row r="390">
      <c r="A390" s="32"/>
      <c r="B390" s="2"/>
      <c r="C390" s="2"/>
    </row>
    <row r="391">
      <c r="A391" s="32"/>
      <c r="B391" s="2"/>
      <c r="C391" s="2"/>
    </row>
    <row r="392">
      <c r="A392" s="32"/>
      <c r="B392" s="2"/>
      <c r="C392" s="2"/>
    </row>
    <row r="393">
      <c r="A393" s="32"/>
      <c r="B393" s="2"/>
      <c r="C393" s="2"/>
    </row>
    <row r="394">
      <c r="A394" s="32"/>
      <c r="B394" s="2"/>
      <c r="C394" s="2"/>
    </row>
    <row r="395">
      <c r="A395" s="32"/>
      <c r="B395" s="2"/>
      <c r="C395" s="2"/>
    </row>
    <row r="396">
      <c r="A396" s="32"/>
      <c r="B396" s="2"/>
      <c r="C396" s="2"/>
    </row>
    <row r="397">
      <c r="A397" s="32"/>
      <c r="B397" s="2"/>
      <c r="C397" s="2"/>
    </row>
    <row r="398">
      <c r="A398" s="32"/>
      <c r="B398" s="2"/>
      <c r="C398" s="2"/>
    </row>
    <row r="399">
      <c r="A399" s="32"/>
      <c r="B399" s="2"/>
      <c r="C399" s="2"/>
    </row>
    <row r="400">
      <c r="A400" s="32"/>
      <c r="B400" s="2"/>
      <c r="C400" s="2"/>
    </row>
    <row r="401">
      <c r="A401" s="32"/>
      <c r="B401" s="2"/>
      <c r="C401" s="2"/>
    </row>
    <row r="402">
      <c r="A402" s="32"/>
      <c r="B402" s="2"/>
      <c r="C402" s="2"/>
    </row>
    <row r="403">
      <c r="A403" s="32"/>
      <c r="B403" s="2"/>
      <c r="C403" s="2"/>
    </row>
    <row r="404">
      <c r="A404" s="32"/>
      <c r="B404" s="2"/>
      <c r="C404" s="2"/>
    </row>
    <row r="405">
      <c r="A405" s="32"/>
      <c r="B405" s="2"/>
      <c r="C405" s="2"/>
    </row>
    <row r="406">
      <c r="A406" s="32"/>
      <c r="B406" s="2"/>
      <c r="C406" s="2"/>
    </row>
    <row r="407">
      <c r="A407" s="32"/>
      <c r="B407" s="2"/>
      <c r="C407" s="2"/>
    </row>
    <row r="408">
      <c r="A408" s="32"/>
      <c r="B408" s="2"/>
      <c r="C408" s="2"/>
    </row>
    <row r="409">
      <c r="A409" s="32"/>
      <c r="B409" s="2"/>
      <c r="C409" s="2"/>
    </row>
    <row r="410">
      <c r="A410" s="32"/>
      <c r="B410" s="2"/>
      <c r="C410" s="2"/>
    </row>
    <row r="411">
      <c r="A411" s="32"/>
      <c r="B411" s="2"/>
      <c r="C411" s="2"/>
    </row>
    <row r="412">
      <c r="A412" s="32"/>
      <c r="B412" s="2"/>
      <c r="C412" s="2"/>
    </row>
    <row r="413">
      <c r="A413" s="32"/>
      <c r="B413" s="2"/>
      <c r="C413" s="2"/>
    </row>
    <row r="414">
      <c r="A414" s="32"/>
      <c r="B414" s="2"/>
      <c r="C414" s="2"/>
    </row>
    <row r="415">
      <c r="A415" s="32"/>
      <c r="B415" s="2"/>
      <c r="C415" s="2"/>
    </row>
    <row r="416">
      <c r="A416" s="32"/>
      <c r="B416" s="2"/>
      <c r="C416" s="2"/>
    </row>
    <row r="417">
      <c r="A417" s="32"/>
      <c r="B417" s="2"/>
      <c r="C417" s="2"/>
    </row>
    <row r="418">
      <c r="A418" s="32"/>
      <c r="B418" s="2"/>
      <c r="C418" s="2"/>
    </row>
    <row r="419">
      <c r="A419" s="32"/>
      <c r="B419" s="2"/>
      <c r="C419" s="2"/>
    </row>
    <row r="420">
      <c r="A420" s="32"/>
      <c r="B420" s="2"/>
      <c r="C420" s="2"/>
    </row>
    <row r="421">
      <c r="A421" s="32"/>
      <c r="B421" s="2"/>
      <c r="C421" s="2"/>
    </row>
    <row r="422">
      <c r="A422" s="32"/>
      <c r="B422" s="2"/>
      <c r="C422" s="2"/>
    </row>
    <row r="423">
      <c r="A423" s="32"/>
      <c r="B423" s="2"/>
      <c r="C423" s="2"/>
    </row>
    <row r="424">
      <c r="A424" s="32"/>
      <c r="B424" s="2"/>
      <c r="C424" s="2"/>
    </row>
    <row r="425">
      <c r="A425" s="32"/>
      <c r="B425" s="2"/>
      <c r="C425" s="2"/>
    </row>
    <row r="426">
      <c r="A426" s="32"/>
      <c r="B426" s="2"/>
      <c r="C426" s="2"/>
    </row>
    <row r="427">
      <c r="A427" s="32"/>
      <c r="B427" s="2"/>
      <c r="C427" s="2"/>
    </row>
    <row r="428">
      <c r="A428" s="32"/>
      <c r="B428" s="2"/>
      <c r="C428" s="2"/>
    </row>
    <row r="429">
      <c r="A429" s="32"/>
      <c r="B429" s="2"/>
      <c r="C429" s="2"/>
    </row>
    <row r="430">
      <c r="A430" s="32"/>
      <c r="B430" s="2"/>
      <c r="C430" s="2"/>
    </row>
    <row r="431">
      <c r="A431" s="32"/>
      <c r="B431" s="2"/>
      <c r="C431" s="2"/>
    </row>
    <row r="432">
      <c r="A432" s="32"/>
      <c r="B432" s="2"/>
      <c r="C432" s="2"/>
    </row>
    <row r="433">
      <c r="A433" s="32"/>
      <c r="B433" s="2"/>
      <c r="C433" s="2"/>
    </row>
    <row r="434">
      <c r="A434" s="32"/>
      <c r="B434" s="2"/>
      <c r="C434" s="2"/>
    </row>
    <row r="435">
      <c r="A435" s="32"/>
      <c r="B435" s="2"/>
      <c r="C435" s="2"/>
    </row>
    <row r="436">
      <c r="A436" s="32"/>
      <c r="B436" s="2"/>
      <c r="C436" s="2"/>
    </row>
    <row r="437">
      <c r="A437" s="32"/>
      <c r="B437" s="2"/>
      <c r="C437" s="2"/>
    </row>
    <row r="438">
      <c r="A438" s="32"/>
      <c r="B438" s="2"/>
      <c r="C438" s="2"/>
    </row>
    <row r="439">
      <c r="A439" s="32"/>
      <c r="B439" s="2"/>
      <c r="C439" s="2"/>
    </row>
    <row r="440">
      <c r="A440" s="32"/>
      <c r="B440" s="2"/>
      <c r="C440" s="2"/>
    </row>
    <row r="441">
      <c r="A441" s="32"/>
      <c r="B441" s="2"/>
      <c r="C441" s="2"/>
    </row>
    <row r="442">
      <c r="A442" s="32"/>
      <c r="B442" s="2"/>
      <c r="C442" s="2"/>
    </row>
    <row r="443">
      <c r="A443" s="32"/>
      <c r="B443" s="2"/>
      <c r="C443" s="2"/>
    </row>
    <row r="444">
      <c r="A444" s="32"/>
      <c r="B444" s="2"/>
      <c r="C444" s="2"/>
    </row>
    <row r="445">
      <c r="A445" s="32"/>
      <c r="B445" s="2"/>
      <c r="C445" s="2"/>
    </row>
    <row r="446">
      <c r="A446" s="32"/>
      <c r="B446" s="2"/>
      <c r="C446" s="2"/>
    </row>
    <row r="447">
      <c r="A447" s="32"/>
      <c r="B447" s="2"/>
      <c r="C447" s="2"/>
    </row>
    <row r="448">
      <c r="A448" s="32"/>
      <c r="B448" s="2"/>
      <c r="C448" s="2"/>
    </row>
    <row r="449">
      <c r="A449" s="32"/>
      <c r="B449" s="2"/>
      <c r="C449" s="2"/>
    </row>
    <row r="450">
      <c r="A450" s="32"/>
      <c r="B450" s="2"/>
      <c r="C450" s="2"/>
    </row>
    <row r="451">
      <c r="A451" s="32"/>
      <c r="B451" s="2"/>
      <c r="C451" s="2"/>
    </row>
    <row r="452">
      <c r="A452" s="32"/>
      <c r="B452" s="2"/>
      <c r="C452" s="2"/>
    </row>
    <row r="453">
      <c r="A453" s="32"/>
      <c r="B453" s="2"/>
      <c r="C453" s="2"/>
    </row>
    <row r="454">
      <c r="A454" s="32"/>
      <c r="B454" s="2"/>
      <c r="C454" s="2"/>
    </row>
    <row r="455">
      <c r="A455" s="32"/>
      <c r="B455" s="2"/>
      <c r="C455" s="2"/>
    </row>
    <row r="456">
      <c r="A456" s="32"/>
      <c r="B456" s="2"/>
      <c r="C456" s="2"/>
    </row>
    <row r="457">
      <c r="A457" s="32"/>
      <c r="B457" s="2"/>
      <c r="C457" s="2"/>
    </row>
    <row r="458">
      <c r="A458" s="32"/>
      <c r="B458" s="2"/>
      <c r="C458" s="2"/>
    </row>
    <row r="459">
      <c r="A459" s="32"/>
      <c r="B459" s="2"/>
      <c r="C459" s="2"/>
    </row>
    <row r="460">
      <c r="A460" s="32"/>
      <c r="B460" s="2"/>
      <c r="C460" s="2"/>
    </row>
    <row r="461">
      <c r="A461" s="32"/>
      <c r="B461" s="2"/>
      <c r="C461" s="2"/>
    </row>
    <row r="462">
      <c r="A462" s="32"/>
      <c r="B462" s="2"/>
      <c r="C462" s="2"/>
    </row>
    <row r="463">
      <c r="A463" s="32"/>
      <c r="B463" s="2"/>
      <c r="C463" s="2"/>
    </row>
    <row r="464">
      <c r="A464" s="32"/>
      <c r="B464" s="2"/>
      <c r="C464" s="2"/>
    </row>
    <row r="465">
      <c r="A465" s="32"/>
      <c r="B465" s="2"/>
      <c r="C465" s="2"/>
    </row>
    <row r="466">
      <c r="A466" s="32"/>
      <c r="B466" s="2"/>
      <c r="C466" s="2"/>
    </row>
    <row r="467">
      <c r="A467" s="32"/>
      <c r="B467" s="2"/>
      <c r="C467" s="2"/>
    </row>
    <row r="468">
      <c r="A468" s="32"/>
      <c r="B468" s="2"/>
      <c r="C468" s="2"/>
    </row>
    <row r="469">
      <c r="A469" s="32"/>
      <c r="B469" s="2"/>
      <c r="C469" s="2"/>
    </row>
    <row r="470">
      <c r="A470" s="32"/>
      <c r="B470" s="2"/>
      <c r="C470" s="2"/>
    </row>
    <row r="471">
      <c r="A471" s="32"/>
      <c r="B471" s="2"/>
      <c r="C471" s="2"/>
    </row>
    <row r="472">
      <c r="A472" s="32"/>
      <c r="B472" s="2"/>
      <c r="C472" s="2"/>
    </row>
    <row r="473">
      <c r="A473" s="32"/>
      <c r="B473" s="2"/>
      <c r="C473" s="2"/>
    </row>
    <row r="474">
      <c r="A474" s="32"/>
      <c r="B474" s="2"/>
      <c r="C474" s="2"/>
    </row>
    <row r="475">
      <c r="A475" s="32"/>
      <c r="B475" s="2"/>
      <c r="C475" s="2"/>
    </row>
    <row r="476">
      <c r="A476" s="32"/>
      <c r="B476" s="2"/>
      <c r="C476" s="2"/>
    </row>
    <row r="477">
      <c r="A477" s="32"/>
      <c r="B477" s="2"/>
      <c r="C477" s="2"/>
    </row>
    <row r="478">
      <c r="A478" s="32"/>
      <c r="B478" s="2"/>
      <c r="C478" s="2"/>
    </row>
    <row r="479">
      <c r="A479" s="32"/>
      <c r="B479" s="2"/>
      <c r="C479" s="2"/>
    </row>
    <row r="480">
      <c r="A480" s="32"/>
      <c r="B480" s="2"/>
      <c r="C480" s="2"/>
    </row>
    <row r="481">
      <c r="A481" s="32"/>
      <c r="B481" s="2"/>
      <c r="C481" s="2"/>
    </row>
    <row r="482">
      <c r="A482" s="32"/>
      <c r="B482" s="2"/>
      <c r="C482" s="2"/>
    </row>
    <row r="483">
      <c r="A483" s="32"/>
      <c r="B483" s="2"/>
      <c r="C483" s="2"/>
    </row>
    <row r="484">
      <c r="A484" s="32"/>
      <c r="B484" s="2"/>
      <c r="C484" s="2"/>
    </row>
    <row r="485">
      <c r="A485" s="32"/>
      <c r="B485" s="2"/>
      <c r="C485" s="2"/>
    </row>
    <row r="486">
      <c r="A486" s="32"/>
      <c r="B486" s="2"/>
      <c r="C486" s="2"/>
    </row>
    <row r="487">
      <c r="A487" s="32"/>
      <c r="B487" s="2"/>
      <c r="C487" s="2"/>
    </row>
    <row r="488">
      <c r="A488" s="32"/>
      <c r="B488" s="2"/>
      <c r="C488" s="2"/>
    </row>
    <row r="489">
      <c r="A489" s="32"/>
      <c r="B489" s="2"/>
      <c r="C489" s="2"/>
    </row>
    <row r="490">
      <c r="A490" s="32"/>
      <c r="B490" s="2"/>
      <c r="C490" s="2"/>
    </row>
    <row r="491">
      <c r="A491" s="32"/>
      <c r="B491" s="2"/>
      <c r="C491" s="2"/>
    </row>
    <row r="492">
      <c r="A492" s="32"/>
      <c r="B492" s="2"/>
      <c r="C492" s="2"/>
    </row>
    <row r="493">
      <c r="A493" s="32"/>
      <c r="B493" s="2"/>
      <c r="C493" s="2"/>
    </row>
    <row r="494">
      <c r="A494" s="32"/>
      <c r="B494" s="2"/>
      <c r="C494" s="2"/>
    </row>
    <row r="495">
      <c r="A495" s="32"/>
      <c r="B495" s="2"/>
      <c r="C495" s="2"/>
    </row>
    <row r="496">
      <c r="A496" s="32"/>
      <c r="B496" s="2"/>
      <c r="C496" s="2"/>
    </row>
    <row r="497">
      <c r="A497" s="32"/>
      <c r="B497" s="2"/>
      <c r="C497" s="2"/>
    </row>
    <row r="498">
      <c r="A498" s="32"/>
      <c r="B498" s="2"/>
      <c r="C498" s="2"/>
    </row>
    <row r="499">
      <c r="A499" s="32"/>
      <c r="B499" s="2"/>
      <c r="C499" s="2"/>
    </row>
    <row r="500">
      <c r="A500" s="32"/>
      <c r="B500" s="2"/>
      <c r="C500" s="2"/>
    </row>
    <row r="501">
      <c r="A501" s="32"/>
      <c r="B501" s="2"/>
      <c r="C501" s="2"/>
    </row>
    <row r="502">
      <c r="A502" s="32"/>
      <c r="B502" s="2"/>
      <c r="C502" s="2"/>
    </row>
    <row r="503">
      <c r="A503" s="32"/>
      <c r="B503" s="2"/>
      <c r="C503" s="2"/>
    </row>
    <row r="504">
      <c r="A504" s="32"/>
      <c r="B504" s="2"/>
      <c r="C504" s="2"/>
    </row>
    <row r="505">
      <c r="A505" s="32"/>
      <c r="B505" s="2"/>
      <c r="C505" s="2"/>
    </row>
    <row r="506">
      <c r="A506" s="32"/>
      <c r="B506" s="2"/>
      <c r="C506" s="2"/>
    </row>
    <row r="507">
      <c r="A507" s="32"/>
      <c r="B507" s="2"/>
      <c r="C507" s="2"/>
    </row>
    <row r="508">
      <c r="A508" s="32"/>
      <c r="B508" s="2"/>
      <c r="C508" s="2"/>
    </row>
    <row r="509">
      <c r="A509" s="32"/>
      <c r="B509" s="2"/>
      <c r="C509" s="2"/>
    </row>
    <row r="510">
      <c r="A510" s="32"/>
      <c r="B510" s="2"/>
      <c r="C510" s="2"/>
    </row>
    <row r="511">
      <c r="A511" s="32"/>
      <c r="B511" s="2"/>
      <c r="C511" s="2"/>
    </row>
    <row r="512">
      <c r="A512" s="32"/>
      <c r="B512" s="2"/>
      <c r="C512" s="2"/>
    </row>
    <row r="513">
      <c r="A513" s="32"/>
      <c r="B513" s="2"/>
      <c r="C513" s="2"/>
    </row>
    <row r="514">
      <c r="A514" s="32"/>
      <c r="B514" s="2"/>
      <c r="C514" s="2"/>
    </row>
    <row r="515">
      <c r="A515" s="32"/>
      <c r="B515" s="2"/>
      <c r="C515" s="2"/>
    </row>
    <row r="516">
      <c r="A516" s="32"/>
      <c r="B516" s="2"/>
      <c r="C516" s="2"/>
    </row>
    <row r="517">
      <c r="A517" s="32"/>
      <c r="B517" s="2"/>
      <c r="C517" s="2"/>
    </row>
    <row r="518">
      <c r="A518" s="32"/>
      <c r="B518" s="2"/>
      <c r="C518" s="2"/>
    </row>
    <row r="519">
      <c r="A519" s="32"/>
      <c r="B519" s="2"/>
      <c r="C519" s="2"/>
    </row>
    <row r="520">
      <c r="A520" s="32"/>
      <c r="B520" s="2"/>
      <c r="C520" s="2"/>
    </row>
    <row r="521">
      <c r="A521" s="32"/>
      <c r="B521" s="2"/>
      <c r="C521" s="2"/>
    </row>
    <row r="522">
      <c r="A522" s="32"/>
      <c r="B522" s="2"/>
      <c r="C522" s="2"/>
    </row>
    <row r="523">
      <c r="A523" s="32"/>
      <c r="B523" s="2"/>
      <c r="C523" s="2"/>
    </row>
    <row r="524">
      <c r="A524" s="32"/>
      <c r="B524" s="2"/>
      <c r="C524" s="2"/>
    </row>
    <row r="525">
      <c r="A525" s="32"/>
      <c r="B525" s="2"/>
      <c r="C525" s="2"/>
    </row>
    <row r="526">
      <c r="A526" s="32"/>
      <c r="B526" s="2"/>
      <c r="C526" s="2"/>
    </row>
    <row r="527">
      <c r="A527" s="32"/>
      <c r="B527" s="2"/>
      <c r="C527" s="2"/>
    </row>
    <row r="528">
      <c r="A528" s="32"/>
      <c r="B528" s="2"/>
      <c r="C528" s="2"/>
    </row>
    <row r="529">
      <c r="A529" s="32"/>
      <c r="B529" s="2"/>
      <c r="C529" s="2"/>
    </row>
    <row r="530">
      <c r="A530" s="32"/>
      <c r="B530" s="2"/>
      <c r="C530" s="2"/>
    </row>
    <row r="531">
      <c r="A531" s="32"/>
      <c r="B531" s="2"/>
      <c r="C531" s="2"/>
    </row>
    <row r="532">
      <c r="A532" s="32"/>
      <c r="B532" s="2"/>
      <c r="C532" s="2"/>
    </row>
    <row r="533">
      <c r="A533" s="32"/>
      <c r="B533" s="2"/>
      <c r="C533" s="2"/>
    </row>
    <row r="534">
      <c r="A534" s="32"/>
      <c r="B534" s="2"/>
      <c r="C534" s="2"/>
    </row>
    <row r="535">
      <c r="A535" s="32"/>
      <c r="B535" s="2"/>
      <c r="C535" s="2"/>
    </row>
    <row r="536">
      <c r="A536" s="32"/>
      <c r="B536" s="2"/>
      <c r="C536" s="2"/>
    </row>
    <row r="537">
      <c r="A537" s="32"/>
      <c r="B537" s="2"/>
      <c r="C537" s="2"/>
    </row>
    <row r="538">
      <c r="A538" s="32"/>
      <c r="B538" s="2"/>
      <c r="C538" s="2"/>
    </row>
    <row r="539">
      <c r="A539" s="32"/>
      <c r="B539" s="2"/>
      <c r="C539" s="2"/>
    </row>
    <row r="540">
      <c r="A540" s="32"/>
      <c r="B540" s="2"/>
      <c r="C540" s="2"/>
    </row>
    <row r="541">
      <c r="A541" s="32"/>
      <c r="B541" s="2"/>
      <c r="C541" s="2"/>
    </row>
    <row r="542">
      <c r="A542" s="32"/>
      <c r="B542" s="2"/>
      <c r="C542" s="2"/>
    </row>
    <row r="543">
      <c r="A543" s="32"/>
      <c r="B543" s="2"/>
      <c r="C543" s="2"/>
    </row>
    <row r="544">
      <c r="A544" s="32"/>
      <c r="B544" s="2"/>
      <c r="C544" s="2"/>
    </row>
    <row r="545">
      <c r="A545" s="32"/>
      <c r="B545" s="2"/>
      <c r="C545" s="2"/>
    </row>
    <row r="546">
      <c r="A546" s="32"/>
      <c r="B546" s="2"/>
      <c r="C546" s="2"/>
    </row>
    <row r="547">
      <c r="A547" s="32"/>
      <c r="B547" s="2"/>
      <c r="C547" s="2"/>
    </row>
    <row r="548">
      <c r="A548" s="32"/>
      <c r="B548" s="2"/>
      <c r="C548" s="2"/>
    </row>
    <row r="549">
      <c r="A549" s="32"/>
      <c r="B549" s="2"/>
      <c r="C549" s="2"/>
    </row>
    <row r="550">
      <c r="A550" s="32"/>
      <c r="B550" s="2"/>
      <c r="C550" s="2"/>
    </row>
    <row r="551">
      <c r="A551" s="32"/>
      <c r="B551" s="2"/>
      <c r="C551" s="2"/>
    </row>
    <row r="552">
      <c r="A552" s="32"/>
      <c r="B552" s="2"/>
      <c r="C552" s="2"/>
    </row>
    <row r="553">
      <c r="A553" s="32"/>
      <c r="B553" s="2"/>
      <c r="C553" s="2"/>
    </row>
    <row r="554">
      <c r="A554" s="32"/>
      <c r="B554" s="2"/>
      <c r="C554" s="2"/>
    </row>
    <row r="555">
      <c r="A555" s="32"/>
      <c r="B555" s="2"/>
      <c r="C555" s="2"/>
    </row>
    <row r="556">
      <c r="A556" s="32"/>
      <c r="B556" s="2"/>
      <c r="C556" s="2"/>
    </row>
    <row r="557">
      <c r="A557" s="32"/>
      <c r="B557" s="2"/>
      <c r="C557" s="2"/>
    </row>
    <row r="558">
      <c r="A558" s="32"/>
      <c r="B558" s="2"/>
      <c r="C558" s="2"/>
    </row>
    <row r="559">
      <c r="A559" s="32"/>
      <c r="B559" s="2"/>
      <c r="C559" s="2"/>
    </row>
    <row r="560">
      <c r="A560" s="32"/>
      <c r="B560" s="2"/>
      <c r="C560" s="2"/>
    </row>
    <row r="561">
      <c r="A561" s="32"/>
      <c r="B561" s="2"/>
      <c r="C561" s="2"/>
    </row>
    <row r="562">
      <c r="A562" s="32"/>
      <c r="B562" s="2"/>
      <c r="C562" s="2"/>
    </row>
    <row r="563">
      <c r="A563" s="32"/>
      <c r="B563" s="2"/>
      <c r="C563" s="2"/>
    </row>
    <row r="564">
      <c r="A564" s="32"/>
      <c r="B564" s="2"/>
      <c r="C564" s="2"/>
    </row>
    <row r="565">
      <c r="A565" s="32"/>
      <c r="B565" s="2"/>
      <c r="C565" s="2"/>
    </row>
    <row r="566">
      <c r="A566" s="32"/>
      <c r="B566" s="2"/>
      <c r="C566" s="2"/>
    </row>
    <row r="567">
      <c r="A567" s="32"/>
      <c r="B567" s="2"/>
      <c r="C567" s="2"/>
    </row>
    <row r="568">
      <c r="A568" s="32"/>
      <c r="B568" s="2"/>
      <c r="C568" s="2"/>
    </row>
    <row r="569">
      <c r="A569" s="32"/>
      <c r="B569" s="2"/>
      <c r="C569" s="2"/>
    </row>
    <row r="570">
      <c r="A570" s="32"/>
      <c r="B570" s="2"/>
      <c r="C570" s="2"/>
    </row>
    <row r="571">
      <c r="A571" s="32"/>
      <c r="B571" s="2"/>
      <c r="C571" s="2"/>
    </row>
    <row r="572">
      <c r="A572" s="32"/>
      <c r="B572" s="2"/>
      <c r="C572" s="2"/>
    </row>
    <row r="573">
      <c r="A573" s="32"/>
      <c r="B573" s="2"/>
      <c r="C573" s="2"/>
    </row>
    <row r="574">
      <c r="A574" s="32"/>
      <c r="B574" s="2"/>
      <c r="C574" s="2"/>
    </row>
    <row r="575">
      <c r="A575" s="32"/>
      <c r="B575" s="2"/>
      <c r="C575" s="2"/>
    </row>
    <row r="576">
      <c r="A576" s="32"/>
      <c r="B576" s="2"/>
      <c r="C576" s="2"/>
    </row>
    <row r="577">
      <c r="A577" s="32"/>
      <c r="B577" s="2"/>
      <c r="C577" s="2"/>
    </row>
    <row r="578">
      <c r="A578" s="32"/>
      <c r="B578" s="2"/>
      <c r="C578" s="2"/>
    </row>
    <row r="579">
      <c r="A579" s="32"/>
      <c r="B579" s="2"/>
      <c r="C579" s="2"/>
    </row>
    <row r="580">
      <c r="A580" s="32"/>
      <c r="B580" s="2"/>
      <c r="C580" s="2"/>
    </row>
    <row r="581">
      <c r="A581" s="32"/>
      <c r="B581" s="2"/>
      <c r="C581" s="2"/>
    </row>
    <row r="582">
      <c r="A582" s="32"/>
      <c r="B582" s="2"/>
      <c r="C582" s="2"/>
    </row>
    <row r="583">
      <c r="A583" s="32"/>
      <c r="B583" s="2"/>
      <c r="C583" s="2"/>
    </row>
    <row r="584">
      <c r="A584" s="32"/>
      <c r="B584" s="2"/>
      <c r="C584" s="2"/>
    </row>
    <row r="585">
      <c r="A585" s="32"/>
      <c r="B585" s="2"/>
      <c r="C585" s="2"/>
    </row>
    <row r="586">
      <c r="A586" s="32"/>
      <c r="B586" s="2"/>
      <c r="C586" s="2"/>
    </row>
    <row r="587">
      <c r="A587" s="32"/>
      <c r="B587" s="2"/>
      <c r="C587" s="2"/>
    </row>
    <row r="588">
      <c r="A588" s="32"/>
      <c r="B588" s="2"/>
      <c r="C588" s="2"/>
    </row>
    <row r="589">
      <c r="A589" s="32"/>
      <c r="B589" s="2"/>
      <c r="C589" s="2"/>
    </row>
    <row r="590">
      <c r="A590" s="32"/>
      <c r="B590" s="2"/>
      <c r="C590" s="2"/>
    </row>
    <row r="591">
      <c r="A591" s="32"/>
      <c r="B591" s="2"/>
      <c r="C591" s="2"/>
    </row>
    <row r="592">
      <c r="A592" s="32"/>
      <c r="B592" s="2"/>
      <c r="C592" s="2"/>
    </row>
    <row r="593">
      <c r="A593" s="32"/>
      <c r="B593" s="2"/>
      <c r="C593" s="2"/>
    </row>
    <row r="594">
      <c r="A594" s="32"/>
      <c r="B594" s="2"/>
      <c r="C594" s="2"/>
    </row>
    <row r="595">
      <c r="A595" s="32"/>
      <c r="B595" s="2"/>
      <c r="C595" s="2"/>
    </row>
    <row r="596">
      <c r="A596" s="32"/>
      <c r="B596" s="2"/>
      <c r="C596" s="2"/>
    </row>
    <row r="597">
      <c r="A597" s="32"/>
      <c r="B597" s="2"/>
      <c r="C597" s="2"/>
    </row>
    <row r="598">
      <c r="A598" s="32"/>
      <c r="B598" s="2"/>
      <c r="C598" s="2"/>
    </row>
    <row r="599">
      <c r="A599" s="32"/>
      <c r="B599" s="2"/>
      <c r="C599" s="2"/>
    </row>
    <row r="600">
      <c r="A600" s="32"/>
      <c r="B600" s="2"/>
      <c r="C600" s="2"/>
    </row>
    <row r="601">
      <c r="A601" s="32"/>
      <c r="B601" s="2"/>
      <c r="C601" s="2"/>
    </row>
    <row r="602">
      <c r="A602" s="32"/>
      <c r="B602" s="2"/>
      <c r="C602" s="2"/>
    </row>
    <row r="603">
      <c r="A603" s="32"/>
      <c r="B603" s="2"/>
      <c r="C603" s="2"/>
    </row>
    <row r="604">
      <c r="A604" s="32"/>
      <c r="B604" s="2"/>
      <c r="C604" s="2"/>
    </row>
    <row r="605">
      <c r="A605" s="32"/>
      <c r="B605" s="2"/>
      <c r="C605" s="2"/>
    </row>
    <row r="606">
      <c r="A606" s="32"/>
      <c r="B606" s="2"/>
      <c r="C606" s="2"/>
    </row>
    <row r="607">
      <c r="A607" s="32"/>
      <c r="B607" s="2"/>
      <c r="C607" s="2"/>
    </row>
    <row r="608">
      <c r="A608" s="32"/>
      <c r="B608" s="2"/>
      <c r="C608" s="2"/>
    </row>
    <row r="609">
      <c r="A609" s="32"/>
      <c r="B609" s="2"/>
      <c r="C609" s="2"/>
    </row>
    <row r="610">
      <c r="A610" s="32"/>
      <c r="B610" s="2"/>
      <c r="C610" s="2"/>
    </row>
    <row r="611">
      <c r="A611" s="32"/>
      <c r="B611" s="2"/>
      <c r="C611" s="2"/>
    </row>
    <row r="612">
      <c r="A612" s="32"/>
      <c r="B612" s="2"/>
      <c r="C612" s="2"/>
    </row>
    <row r="613">
      <c r="A613" s="32"/>
      <c r="B613" s="2"/>
      <c r="C613" s="2"/>
    </row>
    <row r="614">
      <c r="A614" s="32"/>
      <c r="B614" s="2"/>
      <c r="C614" s="2"/>
    </row>
    <row r="615">
      <c r="A615" s="32"/>
      <c r="B615" s="2"/>
      <c r="C615" s="2"/>
    </row>
    <row r="616">
      <c r="A616" s="32"/>
      <c r="B616" s="2"/>
      <c r="C616" s="2"/>
    </row>
    <row r="617">
      <c r="A617" s="32"/>
      <c r="B617" s="2"/>
      <c r="C617" s="2"/>
    </row>
    <row r="618">
      <c r="A618" s="32"/>
      <c r="B618" s="2"/>
      <c r="C618" s="2"/>
    </row>
    <row r="619">
      <c r="A619" s="32"/>
      <c r="B619" s="2"/>
      <c r="C619" s="2"/>
    </row>
    <row r="620">
      <c r="A620" s="32"/>
      <c r="B620" s="2"/>
      <c r="C620" s="2"/>
    </row>
    <row r="621">
      <c r="A621" s="32"/>
      <c r="B621" s="2"/>
      <c r="C621" s="2"/>
    </row>
    <row r="622">
      <c r="A622" s="32"/>
      <c r="B622" s="2"/>
      <c r="C622" s="2"/>
    </row>
    <row r="623">
      <c r="A623" s="32"/>
      <c r="B623" s="2"/>
      <c r="C623" s="2"/>
    </row>
    <row r="624">
      <c r="A624" s="32"/>
      <c r="B624" s="2"/>
      <c r="C624" s="2"/>
    </row>
    <row r="625">
      <c r="A625" s="32"/>
      <c r="B625" s="2"/>
      <c r="C625" s="2"/>
    </row>
    <row r="626">
      <c r="A626" s="32"/>
      <c r="B626" s="2"/>
      <c r="C626" s="2"/>
    </row>
    <row r="627">
      <c r="A627" s="32"/>
      <c r="B627" s="2"/>
      <c r="C627" s="2"/>
    </row>
    <row r="628">
      <c r="A628" s="32"/>
      <c r="B628" s="2"/>
      <c r="C628" s="2"/>
    </row>
    <row r="629">
      <c r="A629" s="32"/>
      <c r="B629" s="2"/>
      <c r="C629" s="2"/>
    </row>
    <row r="630">
      <c r="A630" s="32"/>
      <c r="B630" s="2"/>
      <c r="C630" s="2"/>
    </row>
    <row r="631">
      <c r="A631" s="32"/>
      <c r="B631" s="2"/>
      <c r="C631" s="2"/>
    </row>
    <row r="632">
      <c r="A632" s="32"/>
      <c r="B632" s="2"/>
      <c r="C632" s="2"/>
    </row>
    <row r="633">
      <c r="A633" s="32"/>
      <c r="B633" s="2"/>
      <c r="C633" s="2"/>
    </row>
    <row r="634">
      <c r="A634" s="32"/>
      <c r="B634" s="2"/>
      <c r="C634" s="2"/>
    </row>
    <row r="635">
      <c r="A635" s="32"/>
      <c r="B635" s="2"/>
      <c r="C635" s="2"/>
    </row>
    <row r="636">
      <c r="A636" s="32"/>
      <c r="B636" s="2"/>
      <c r="C636" s="2"/>
    </row>
    <row r="637">
      <c r="A637" s="32"/>
      <c r="B637" s="2"/>
      <c r="C637" s="2"/>
    </row>
    <row r="638">
      <c r="A638" s="32"/>
      <c r="B638" s="2"/>
      <c r="C638" s="2"/>
    </row>
    <row r="639">
      <c r="A639" s="32"/>
      <c r="B639" s="2"/>
      <c r="C639" s="2"/>
    </row>
    <row r="640">
      <c r="A640" s="32"/>
      <c r="B640" s="2"/>
      <c r="C640" s="2"/>
    </row>
    <row r="641">
      <c r="A641" s="32"/>
      <c r="B641" s="2"/>
      <c r="C641" s="2"/>
    </row>
    <row r="642">
      <c r="A642" s="32"/>
      <c r="B642" s="2"/>
      <c r="C642" s="2"/>
    </row>
    <row r="643">
      <c r="A643" s="32"/>
      <c r="B643" s="2"/>
      <c r="C643" s="2"/>
    </row>
    <row r="644">
      <c r="A644" s="32"/>
      <c r="B644" s="2"/>
      <c r="C644" s="2"/>
    </row>
    <row r="645">
      <c r="A645" s="32"/>
      <c r="B645" s="2"/>
      <c r="C645" s="2"/>
    </row>
    <row r="646">
      <c r="A646" s="32"/>
      <c r="B646" s="2"/>
      <c r="C646" s="2"/>
    </row>
    <row r="647">
      <c r="A647" s="32"/>
      <c r="B647" s="2"/>
      <c r="C647" s="2"/>
    </row>
    <row r="648">
      <c r="A648" s="32"/>
      <c r="B648" s="2"/>
      <c r="C648" s="2"/>
    </row>
    <row r="649">
      <c r="A649" s="32"/>
      <c r="B649" s="2"/>
      <c r="C649" s="2"/>
    </row>
    <row r="650">
      <c r="A650" s="32"/>
      <c r="B650" s="2"/>
      <c r="C650" s="2"/>
    </row>
    <row r="651">
      <c r="A651" s="32"/>
      <c r="B651" s="2"/>
      <c r="C651" s="2"/>
    </row>
    <row r="652">
      <c r="A652" s="32"/>
      <c r="B652" s="2"/>
      <c r="C652" s="2"/>
    </row>
    <row r="653">
      <c r="A653" s="32"/>
      <c r="B653" s="2"/>
      <c r="C653" s="2"/>
    </row>
    <row r="654">
      <c r="A654" s="32"/>
      <c r="B654" s="2"/>
      <c r="C654" s="2"/>
    </row>
    <row r="655">
      <c r="A655" s="32"/>
      <c r="B655" s="2"/>
      <c r="C655" s="2"/>
    </row>
    <row r="656">
      <c r="A656" s="32"/>
      <c r="B656" s="2"/>
      <c r="C656" s="2"/>
    </row>
    <row r="657">
      <c r="A657" s="32"/>
      <c r="B657" s="2"/>
      <c r="C657" s="2"/>
    </row>
    <row r="658">
      <c r="A658" s="32"/>
      <c r="B658" s="2"/>
      <c r="C658" s="2"/>
    </row>
    <row r="659">
      <c r="A659" s="32"/>
      <c r="B659" s="2"/>
      <c r="C659" s="2"/>
    </row>
    <row r="660">
      <c r="A660" s="32"/>
      <c r="B660" s="2"/>
      <c r="C660" s="2"/>
    </row>
    <row r="661">
      <c r="A661" s="32"/>
      <c r="B661" s="2"/>
      <c r="C661" s="2"/>
    </row>
    <row r="662">
      <c r="A662" s="32"/>
      <c r="B662" s="2"/>
      <c r="C662" s="2"/>
    </row>
    <row r="663">
      <c r="A663" s="32"/>
      <c r="B663" s="2"/>
      <c r="C663" s="2"/>
    </row>
    <row r="664">
      <c r="A664" s="32"/>
      <c r="B664" s="2"/>
      <c r="C664" s="2"/>
    </row>
    <row r="665">
      <c r="A665" s="32"/>
      <c r="B665" s="2"/>
      <c r="C665" s="2"/>
    </row>
    <row r="666">
      <c r="A666" s="32"/>
      <c r="B666" s="2"/>
      <c r="C666" s="2"/>
    </row>
    <row r="667">
      <c r="A667" s="32"/>
      <c r="B667" s="2"/>
      <c r="C667" s="2"/>
    </row>
    <row r="668">
      <c r="A668" s="32"/>
      <c r="B668" s="2"/>
      <c r="C668" s="2"/>
    </row>
    <row r="669">
      <c r="A669" s="32"/>
      <c r="B669" s="2"/>
      <c r="C669" s="2"/>
    </row>
    <row r="670">
      <c r="A670" s="32"/>
      <c r="B670" s="2"/>
      <c r="C670" s="2"/>
    </row>
    <row r="671">
      <c r="A671" s="32"/>
      <c r="B671" s="2"/>
      <c r="C671" s="2"/>
    </row>
    <row r="672">
      <c r="A672" s="32"/>
      <c r="B672" s="2"/>
      <c r="C672" s="2"/>
    </row>
    <row r="673">
      <c r="A673" s="32"/>
      <c r="B673" s="2"/>
      <c r="C673" s="2"/>
    </row>
    <row r="674">
      <c r="A674" s="32"/>
      <c r="B674" s="2"/>
      <c r="C674" s="2"/>
    </row>
    <row r="675">
      <c r="A675" s="32"/>
      <c r="B675" s="2"/>
      <c r="C675" s="2"/>
    </row>
    <row r="676">
      <c r="A676" s="32"/>
      <c r="B676" s="2"/>
      <c r="C676" s="2"/>
    </row>
    <row r="677">
      <c r="A677" s="32"/>
      <c r="B677" s="2"/>
      <c r="C677" s="2"/>
    </row>
    <row r="678">
      <c r="A678" s="32"/>
      <c r="B678" s="2"/>
      <c r="C678" s="2"/>
    </row>
    <row r="679">
      <c r="A679" s="32"/>
      <c r="B679" s="2"/>
      <c r="C679" s="2"/>
    </row>
    <row r="680">
      <c r="A680" s="32"/>
      <c r="B680" s="2"/>
      <c r="C680" s="2"/>
    </row>
    <row r="681">
      <c r="A681" s="32"/>
      <c r="B681" s="2"/>
      <c r="C681" s="2"/>
    </row>
    <row r="682">
      <c r="A682" s="32"/>
      <c r="B682" s="2"/>
      <c r="C682" s="2"/>
    </row>
    <row r="683">
      <c r="A683" s="32"/>
      <c r="B683" s="2"/>
      <c r="C683" s="2"/>
    </row>
    <row r="684">
      <c r="A684" s="32"/>
      <c r="B684" s="2"/>
      <c r="C684" s="2"/>
    </row>
    <row r="685">
      <c r="A685" s="32"/>
      <c r="B685" s="2"/>
      <c r="C685" s="2"/>
    </row>
    <row r="686">
      <c r="A686" s="32"/>
      <c r="B686" s="2"/>
      <c r="C686" s="2"/>
    </row>
    <row r="687">
      <c r="A687" s="32"/>
      <c r="B687" s="2"/>
      <c r="C687" s="2"/>
    </row>
    <row r="688">
      <c r="A688" s="32"/>
      <c r="B688" s="2"/>
      <c r="C688" s="2"/>
    </row>
    <row r="689">
      <c r="A689" s="32"/>
      <c r="B689" s="2"/>
      <c r="C689" s="2"/>
    </row>
    <row r="690">
      <c r="A690" s="32"/>
      <c r="B690" s="2"/>
      <c r="C690" s="2"/>
    </row>
    <row r="691">
      <c r="A691" s="32"/>
      <c r="B691" s="2"/>
      <c r="C691" s="2"/>
    </row>
    <row r="692">
      <c r="A692" s="32"/>
      <c r="B692" s="2"/>
      <c r="C692" s="2"/>
    </row>
    <row r="693">
      <c r="A693" s="32"/>
      <c r="B693" s="2"/>
      <c r="C693" s="2"/>
    </row>
    <row r="694">
      <c r="A694" s="32"/>
      <c r="B694" s="2"/>
      <c r="C694" s="2"/>
    </row>
    <row r="695">
      <c r="A695" s="32"/>
      <c r="B695" s="2"/>
      <c r="C695" s="2"/>
    </row>
    <row r="696">
      <c r="A696" s="32"/>
      <c r="B696" s="2"/>
      <c r="C696" s="2"/>
    </row>
    <row r="697">
      <c r="A697" s="32"/>
      <c r="B697" s="2"/>
      <c r="C697" s="2"/>
    </row>
    <row r="698">
      <c r="A698" s="32"/>
      <c r="B698" s="2"/>
      <c r="C698" s="2"/>
    </row>
    <row r="699">
      <c r="A699" s="32"/>
      <c r="B699" s="2"/>
      <c r="C699" s="2"/>
    </row>
    <row r="700">
      <c r="A700" s="32"/>
      <c r="B700" s="2"/>
      <c r="C700" s="2"/>
    </row>
    <row r="701">
      <c r="A701" s="32"/>
      <c r="B701" s="2"/>
      <c r="C701" s="2"/>
    </row>
    <row r="702">
      <c r="A702" s="32"/>
      <c r="B702" s="2"/>
      <c r="C702" s="2"/>
    </row>
    <row r="703">
      <c r="A703" s="32"/>
      <c r="B703" s="2"/>
      <c r="C703" s="2"/>
    </row>
    <row r="704">
      <c r="A704" s="32"/>
      <c r="B704" s="2"/>
      <c r="C704" s="2"/>
    </row>
    <row r="705">
      <c r="A705" s="32"/>
      <c r="B705" s="2"/>
      <c r="C705" s="2"/>
    </row>
    <row r="706">
      <c r="A706" s="32"/>
      <c r="B706" s="2"/>
      <c r="C706" s="2"/>
    </row>
    <row r="707">
      <c r="A707" s="32"/>
      <c r="B707" s="2"/>
      <c r="C707" s="2"/>
    </row>
    <row r="708">
      <c r="A708" s="32"/>
      <c r="B708" s="2"/>
      <c r="C708" s="2"/>
    </row>
    <row r="709">
      <c r="A709" s="32"/>
      <c r="B709" s="2"/>
      <c r="C709" s="2"/>
    </row>
    <row r="710">
      <c r="A710" s="32"/>
      <c r="B710" s="2"/>
      <c r="C710" s="2"/>
    </row>
    <row r="711">
      <c r="A711" s="32"/>
      <c r="B711" s="2"/>
      <c r="C711" s="2"/>
    </row>
    <row r="712">
      <c r="A712" s="32"/>
      <c r="B712" s="2"/>
      <c r="C712" s="2"/>
    </row>
    <row r="713">
      <c r="A713" s="32"/>
      <c r="B713" s="2"/>
      <c r="C713" s="2"/>
    </row>
    <row r="714">
      <c r="A714" s="32"/>
      <c r="B714" s="2"/>
      <c r="C714" s="2"/>
    </row>
    <row r="715">
      <c r="A715" s="32"/>
      <c r="B715" s="2"/>
      <c r="C715" s="2"/>
    </row>
    <row r="716">
      <c r="A716" s="32"/>
      <c r="B716" s="2"/>
      <c r="C716" s="2"/>
    </row>
    <row r="717">
      <c r="A717" s="32"/>
      <c r="B717" s="2"/>
      <c r="C717" s="2"/>
    </row>
    <row r="718">
      <c r="A718" s="32"/>
      <c r="B718" s="2"/>
      <c r="C718" s="2"/>
    </row>
    <row r="719">
      <c r="A719" s="32"/>
      <c r="B719" s="2"/>
      <c r="C719" s="2"/>
    </row>
    <row r="720">
      <c r="A720" s="32"/>
      <c r="B720" s="2"/>
      <c r="C720" s="2"/>
    </row>
    <row r="721">
      <c r="A721" s="32"/>
      <c r="B721" s="2"/>
      <c r="C721" s="2"/>
    </row>
    <row r="722">
      <c r="A722" s="32"/>
      <c r="B722" s="2"/>
      <c r="C722" s="2"/>
    </row>
    <row r="723">
      <c r="A723" s="32"/>
      <c r="B723" s="2"/>
      <c r="C723" s="2"/>
    </row>
    <row r="724">
      <c r="A724" s="32"/>
      <c r="B724" s="2"/>
      <c r="C724" s="2"/>
    </row>
    <row r="725">
      <c r="A725" s="32"/>
      <c r="B725" s="2"/>
      <c r="C725" s="2"/>
    </row>
    <row r="726">
      <c r="A726" s="32"/>
      <c r="B726" s="2"/>
      <c r="C726" s="2"/>
    </row>
    <row r="727">
      <c r="A727" s="32"/>
      <c r="B727" s="2"/>
      <c r="C727" s="2"/>
    </row>
    <row r="728">
      <c r="A728" s="32"/>
      <c r="B728" s="2"/>
      <c r="C728" s="2"/>
    </row>
    <row r="729">
      <c r="A729" s="32"/>
      <c r="B729" s="2"/>
      <c r="C729" s="2"/>
    </row>
    <row r="730">
      <c r="A730" s="32"/>
      <c r="B730" s="2"/>
      <c r="C730" s="2"/>
    </row>
    <row r="731">
      <c r="A731" s="32"/>
      <c r="B731" s="2"/>
      <c r="C731" s="2"/>
    </row>
    <row r="732">
      <c r="A732" s="32"/>
      <c r="B732" s="2"/>
      <c r="C732" s="2"/>
    </row>
    <row r="733">
      <c r="A733" s="32"/>
      <c r="B733" s="2"/>
      <c r="C733" s="2"/>
    </row>
    <row r="734">
      <c r="A734" s="32"/>
      <c r="B734" s="2"/>
      <c r="C734" s="2"/>
    </row>
    <row r="735">
      <c r="A735" s="32"/>
      <c r="B735" s="2"/>
      <c r="C735" s="2"/>
    </row>
    <row r="736">
      <c r="A736" s="32"/>
      <c r="B736" s="2"/>
      <c r="C736" s="2"/>
    </row>
    <row r="737">
      <c r="A737" s="32"/>
      <c r="B737" s="2"/>
      <c r="C737" s="2"/>
    </row>
    <row r="738">
      <c r="A738" s="32"/>
      <c r="B738" s="2"/>
      <c r="C738" s="2"/>
    </row>
    <row r="739">
      <c r="A739" s="32"/>
      <c r="B739" s="2"/>
      <c r="C739" s="2"/>
    </row>
    <row r="740">
      <c r="A740" s="32"/>
      <c r="B740" s="2"/>
      <c r="C740" s="2"/>
    </row>
    <row r="741">
      <c r="A741" s="32"/>
      <c r="B741" s="2"/>
      <c r="C741" s="2"/>
    </row>
    <row r="742">
      <c r="A742" s="32"/>
      <c r="B742" s="2"/>
      <c r="C742" s="2"/>
    </row>
    <row r="743">
      <c r="A743" s="32"/>
      <c r="B743" s="2"/>
      <c r="C743" s="2"/>
    </row>
    <row r="744">
      <c r="A744" s="32"/>
      <c r="B744" s="2"/>
      <c r="C744" s="2"/>
    </row>
    <row r="745">
      <c r="A745" s="32"/>
      <c r="B745" s="2"/>
      <c r="C745" s="2"/>
    </row>
    <row r="746">
      <c r="A746" s="32"/>
      <c r="B746" s="2"/>
      <c r="C746" s="2"/>
    </row>
    <row r="747">
      <c r="A747" s="32"/>
      <c r="B747" s="2"/>
      <c r="C747" s="2"/>
    </row>
    <row r="748">
      <c r="A748" s="32"/>
      <c r="B748" s="2"/>
      <c r="C748" s="2"/>
    </row>
    <row r="749">
      <c r="A749" s="32"/>
      <c r="B749" s="2"/>
      <c r="C749" s="2"/>
    </row>
    <row r="750">
      <c r="A750" s="32"/>
      <c r="B750" s="2"/>
      <c r="C750" s="2"/>
    </row>
    <row r="751">
      <c r="A751" s="32"/>
      <c r="B751" s="2"/>
      <c r="C751" s="2"/>
    </row>
    <row r="752">
      <c r="A752" s="32"/>
      <c r="B752" s="2"/>
      <c r="C752" s="2"/>
    </row>
    <row r="753">
      <c r="A753" s="32"/>
      <c r="B753" s="2"/>
      <c r="C753" s="2"/>
    </row>
    <row r="754">
      <c r="A754" s="32"/>
      <c r="B754" s="2"/>
      <c r="C754" s="2"/>
    </row>
    <row r="755">
      <c r="A755" s="32"/>
      <c r="B755" s="2"/>
      <c r="C755" s="2"/>
    </row>
    <row r="756">
      <c r="A756" s="32"/>
      <c r="B756" s="2"/>
      <c r="C756" s="2"/>
    </row>
    <row r="757">
      <c r="A757" s="32"/>
      <c r="B757" s="2"/>
      <c r="C757" s="2"/>
    </row>
    <row r="758">
      <c r="A758" s="32"/>
      <c r="B758" s="2"/>
      <c r="C758" s="2"/>
    </row>
    <row r="759">
      <c r="A759" s="32"/>
      <c r="B759" s="2"/>
      <c r="C759" s="2"/>
    </row>
    <row r="760">
      <c r="A760" s="32"/>
      <c r="B760" s="2"/>
      <c r="C760" s="2"/>
    </row>
    <row r="761">
      <c r="A761" s="32"/>
      <c r="B761" s="2"/>
      <c r="C761" s="2"/>
    </row>
    <row r="762">
      <c r="A762" s="32"/>
      <c r="B762" s="2"/>
      <c r="C762" s="2"/>
    </row>
    <row r="763">
      <c r="A763" s="32"/>
      <c r="B763" s="2"/>
      <c r="C763" s="2"/>
    </row>
    <row r="764">
      <c r="A764" s="32"/>
      <c r="B764" s="2"/>
      <c r="C764" s="2"/>
    </row>
    <row r="765">
      <c r="A765" s="32"/>
      <c r="B765" s="2"/>
      <c r="C765" s="2"/>
    </row>
    <row r="766">
      <c r="A766" s="32"/>
      <c r="B766" s="2"/>
      <c r="C766" s="2"/>
    </row>
    <row r="767">
      <c r="A767" s="32"/>
      <c r="B767" s="2"/>
      <c r="C767" s="2"/>
    </row>
    <row r="768">
      <c r="A768" s="32"/>
      <c r="B768" s="2"/>
      <c r="C768" s="2"/>
    </row>
    <row r="769">
      <c r="A769" s="32"/>
      <c r="B769" s="2"/>
      <c r="C769" s="2"/>
    </row>
    <row r="770">
      <c r="A770" s="32"/>
      <c r="B770" s="2"/>
      <c r="C770" s="2"/>
    </row>
    <row r="771">
      <c r="A771" s="32"/>
      <c r="B771" s="2"/>
      <c r="C771" s="2"/>
    </row>
    <row r="772">
      <c r="A772" s="32"/>
      <c r="B772" s="2"/>
      <c r="C772" s="2"/>
    </row>
    <row r="773">
      <c r="A773" s="32"/>
      <c r="B773" s="2"/>
      <c r="C773" s="2"/>
    </row>
    <row r="774">
      <c r="A774" s="32"/>
      <c r="B774" s="2"/>
      <c r="C774" s="2"/>
    </row>
    <row r="775">
      <c r="A775" s="32"/>
      <c r="B775" s="2"/>
      <c r="C775" s="2"/>
    </row>
    <row r="776">
      <c r="A776" s="32"/>
      <c r="B776" s="2"/>
      <c r="C776" s="2"/>
    </row>
    <row r="777">
      <c r="A777" s="32"/>
      <c r="B777" s="2"/>
      <c r="C777" s="2"/>
    </row>
    <row r="778">
      <c r="A778" s="32"/>
      <c r="B778" s="2"/>
      <c r="C778" s="2"/>
    </row>
    <row r="779">
      <c r="A779" s="32"/>
      <c r="B779" s="2"/>
      <c r="C779" s="2"/>
    </row>
    <row r="780">
      <c r="A780" s="32"/>
      <c r="B780" s="2"/>
      <c r="C780" s="2"/>
    </row>
    <row r="781">
      <c r="A781" s="32"/>
      <c r="B781" s="2"/>
      <c r="C781" s="2"/>
    </row>
    <row r="782">
      <c r="A782" s="32"/>
      <c r="B782" s="2"/>
      <c r="C782" s="2"/>
    </row>
    <row r="783">
      <c r="A783" s="32"/>
      <c r="B783" s="2"/>
      <c r="C783" s="2"/>
    </row>
    <row r="784">
      <c r="A784" s="32"/>
      <c r="B784" s="2"/>
      <c r="C784" s="2"/>
    </row>
    <row r="785">
      <c r="A785" s="32"/>
      <c r="B785" s="2"/>
      <c r="C785" s="2"/>
    </row>
    <row r="786">
      <c r="A786" s="32"/>
      <c r="B786" s="2"/>
      <c r="C786" s="2"/>
    </row>
    <row r="787">
      <c r="A787" s="32"/>
      <c r="B787" s="2"/>
      <c r="C787" s="2"/>
    </row>
    <row r="788">
      <c r="A788" s="32"/>
      <c r="B788" s="2"/>
      <c r="C788" s="2"/>
    </row>
    <row r="789">
      <c r="A789" s="32"/>
      <c r="B789" s="2"/>
      <c r="C789" s="2"/>
    </row>
    <row r="790">
      <c r="A790" s="32"/>
      <c r="B790" s="2"/>
      <c r="C790" s="2"/>
    </row>
    <row r="791">
      <c r="A791" s="32"/>
      <c r="B791" s="2"/>
      <c r="C791" s="2"/>
    </row>
    <row r="792">
      <c r="A792" s="32"/>
      <c r="B792" s="2"/>
      <c r="C792" s="2"/>
    </row>
    <row r="793">
      <c r="A793" s="32"/>
      <c r="B793" s="2"/>
      <c r="C793" s="2"/>
    </row>
    <row r="794">
      <c r="A794" s="32"/>
      <c r="B794" s="2"/>
      <c r="C794" s="2"/>
    </row>
    <row r="795">
      <c r="A795" s="32"/>
      <c r="B795" s="2"/>
      <c r="C795" s="2"/>
    </row>
    <row r="796">
      <c r="A796" s="32"/>
      <c r="B796" s="2"/>
      <c r="C796" s="2"/>
    </row>
    <row r="797">
      <c r="A797" s="32"/>
      <c r="B797" s="2"/>
      <c r="C797" s="2"/>
    </row>
    <row r="798">
      <c r="A798" s="32"/>
      <c r="B798" s="2"/>
      <c r="C798" s="2"/>
    </row>
    <row r="799">
      <c r="A799" s="32"/>
      <c r="B799" s="2"/>
      <c r="C799" s="2"/>
    </row>
    <row r="800">
      <c r="A800" s="32"/>
      <c r="B800" s="2"/>
      <c r="C800" s="2"/>
    </row>
    <row r="801">
      <c r="A801" s="32"/>
      <c r="B801" s="2"/>
      <c r="C801" s="2"/>
    </row>
    <row r="802">
      <c r="A802" s="32"/>
      <c r="B802" s="2"/>
      <c r="C802" s="2"/>
    </row>
    <row r="803">
      <c r="A803" s="32"/>
      <c r="B803" s="2"/>
      <c r="C803" s="2"/>
    </row>
    <row r="804">
      <c r="A804" s="32"/>
      <c r="B804" s="2"/>
      <c r="C804" s="2"/>
    </row>
    <row r="805">
      <c r="A805" s="32"/>
      <c r="B805" s="2"/>
      <c r="C805" s="2"/>
    </row>
    <row r="806">
      <c r="A806" s="32"/>
      <c r="B806" s="2"/>
      <c r="C806" s="2"/>
    </row>
    <row r="807">
      <c r="A807" s="32"/>
      <c r="B807" s="2"/>
      <c r="C807" s="2"/>
    </row>
    <row r="808">
      <c r="A808" s="32"/>
      <c r="B808" s="2"/>
      <c r="C808" s="2"/>
    </row>
    <row r="809">
      <c r="A809" s="32"/>
      <c r="B809" s="2"/>
      <c r="C809" s="2"/>
    </row>
    <row r="810">
      <c r="A810" s="32"/>
      <c r="B810" s="2"/>
      <c r="C810" s="2"/>
    </row>
    <row r="811">
      <c r="A811" s="32"/>
      <c r="B811" s="2"/>
      <c r="C811" s="2"/>
    </row>
    <row r="812">
      <c r="A812" s="32"/>
      <c r="B812" s="2"/>
      <c r="C812" s="2"/>
    </row>
    <row r="813">
      <c r="A813" s="32"/>
      <c r="B813" s="2"/>
      <c r="C813" s="2"/>
    </row>
    <row r="814">
      <c r="A814" s="32"/>
      <c r="B814" s="2"/>
      <c r="C814" s="2"/>
    </row>
    <row r="815">
      <c r="A815" s="32"/>
      <c r="B815" s="2"/>
      <c r="C815" s="2"/>
    </row>
    <row r="816">
      <c r="A816" s="32"/>
      <c r="B816" s="2"/>
      <c r="C816" s="2"/>
    </row>
    <row r="817">
      <c r="A817" s="32"/>
      <c r="B817" s="2"/>
      <c r="C817" s="2"/>
    </row>
    <row r="818">
      <c r="A818" s="32"/>
      <c r="B818" s="2"/>
      <c r="C818" s="2"/>
    </row>
    <row r="819">
      <c r="A819" s="32"/>
      <c r="B819" s="2"/>
      <c r="C819" s="2"/>
    </row>
    <row r="820">
      <c r="A820" s="32"/>
      <c r="B820" s="2"/>
      <c r="C820" s="2"/>
    </row>
    <row r="821">
      <c r="A821" s="32"/>
      <c r="B821" s="2"/>
      <c r="C821" s="2"/>
    </row>
    <row r="822">
      <c r="A822" s="32"/>
      <c r="B822" s="2"/>
      <c r="C822" s="2"/>
    </row>
    <row r="823">
      <c r="A823" s="32"/>
      <c r="B823" s="2"/>
      <c r="C823" s="2"/>
    </row>
    <row r="824">
      <c r="A824" s="32"/>
      <c r="B824" s="2"/>
      <c r="C824" s="2"/>
    </row>
    <row r="825">
      <c r="A825" s="32"/>
      <c r="B825" s="2"/>
      <c r="C825" s="2"/>
    </row>
    <row r="826">
      <c r="A826" s="32"/>
      <c r="B826" s="2"/>
      <c r="C826" s="2"/>
    </row>
    <row r="827">
      <c r="A827" s="32"/>
      <c r="B827" s="2"/>
      <c r="C827" s="2"/>
    </row>
    <row r="828">
      <c r="A828" s="32"/>
      <c r="B828" s="2"/>
      <c r="C828" s="2"/>
    </row>
    <row r="829">
      <c r="A829" s="32"/>
      <c r="B829" s="2"/>
      <c r="C829" s="2"/>
    </row>
    <row r="830">
      <c r="A830" s="32"/>
      <c r="B830" s="2"/>
      <c r="C830" s="2"/>
    </row>
    <row r="831">
      <c r="A831" s="32"/>
      <c r="B831" s="2"/>
      <c r="C831" s="2"/>
    </row>
    <row r="832">
      <c r="A832" s="32"/>
      <c r="B832" s="2"/>
      <c r="C832" s="2"/>
    </row>
    <row r="833">
      <c r="A833" s="32"/>
      <c r="B833" s="2"/>
      <c r="C833" s="2"/>
    </row>
    <row r="834">
      <c r="A834" s="32"/>
      <c r="B834" s="2"/>
      <c r="C834" s="2"/>
    </row>
    <row r="835">
      <c r="A835" s="32"/>
      <c r="B835" s="2"/>
      <c r="C835" s="2"/>
    </row>
    <row r="836">
      <c r="A836" s="32"/>
      <c r="B836" s="2"/>
      <c r="C836" s="2"/>
    </row>
    <row r="837">
      <c r="A837" s="32"/>
      <c r="B837" s="2"/>
      <c r="C837" s="2"/>
    </row>
    <row r="838">
      <c r="A838" s="32"/>
      <c r="B838" s="2"/>
      <c r="C838" s="2"/>
    </row>
    <row r="839">
      <c r="A839" s="32"/>
      <c r="B839" s="2"/>
      <c r="C839" s="2"/>
    </row>
    <row r="840">
      <c r="A840" s="32"/>
      <c r="B840" s="2"/>
      <c r="C840" s="2"/>
    </row>
    <row r="841">
      <c r="A841" s="32"/>
      <c r="B841" s="2"/>
      <c r="C841" s="2"/>
    </row>
    <row r="842">
      <c r="A842" s="32"/>
      <c r="B842" s="2"/>
      <c r="C842" s="2"/>
    </row>
    <row r="843">
      <c r="A843" s="32"/>
      <c r="B843" s="2"/>
      <c r="C843" s="2"/>
    </row>
    <row r="844">
      <c r="A844" s="32"/>
      <c r="B844" s="2"/>
      <c r="C844" s="2"/>
    </row>
    <row r="845">
      <c r="A845" s="32"/>
      <c r="B845" s="2"/>
      <c r="C845" s="2"/>
    </row>
    <row r="846">
      <c r="A846" s="32"/>
      <c r="B846" s="2"/>
      <c r="C846" s="2"/>
    </row>
    <row r="847">
      <c r="A847" s="32"/>
      <c r="B847" s="2"/>
      <c r="C847" s="2"/>
    </row>
    <row r="848">
      <c r="A848" s="32"/>
      <c r="B848" s="2"/>
      <c r="C848" s="2"/>
    </row>
    <row r="849">
      <c r="A849" s="32"/>
      <c r="B849" s="2"/>
      <c r="C849" s="2"/>
    </row>
    <row r="850">
      <c r="A850" s="32"/>
      <c r="B850" s="2"/>
      <c r="C850" s="2"/>
    </row>
    <row r="851">
      <c r="A851" s="32"/>
      <c r="B851" s="2"/>
      <c r="C851" s="2"/>
    </row>
    <row r="852">
      <c r="A852" s="32"/>
      <c r="B852" s="2"/>
      <c r="C852" s="2"/>
    </row>
    <row r="853">
      <c r="A853" s="32"/>
      <c r="B853" s="2"/>
      <c r="C853" s="2"/>
    </row>
    <row r="854">
      <c r="A854" s="32"/>
      <c r="B854" s="2"/>
      <c r="C854" s="2"/>
    </row>
    <row r="855">
      <c r="A855" s="32"/>
      <c r="B855" s="2"/>
      <c r="C855" s="2"/>
    </row>
    <row r="856">
      <c r="A856" s="32"/>
      <c r="B856" s="2"/>
      <c r="C856" s="2"/>
    </row>
    <row r="857">
      <c r="A857" s="32"/>
      <c r="B857" s="2"/>
      <c r="C857" s="2"/>
    </row>
    <row r="858">
      <c r="A858" s="32"/>
      <c r="B858" s="2"/>
      <c r="C858" s="2"/>
    </row>
    <row r="859">
      <c r="A859" s="32"/>
      <c r="B859" s="2"/>
      <c r="C859" s="2"/>
    </row>
    <row r="860">
      <c r="A860" s="32"/>
      <c r="B860" s="2"/>
      <c r="C860" s="2"/>
    </row>
    <row r="861">
      <c r="A861" s="32"/>
      <c r="B861" s="2"/>
      <c r="C861" s="2"/>
    </row>
    <row r="862">
      <c r="A862" s="32"/>
      <c r="B862" s="2"/>
      <c r="C862" s="2"/>
    </row>
    <row r="863">
      <c r="A863" s="32"/>
      <c r="B863" s="2"/>
      <c r="C863" s="2"/>
    </row>
    <row r="864">
      <c r="A864" s="32"/>
      <c r="B864" s="2"/>
      <c r="C864" s="2"/>
    </row>
    <row r="865">
      <c r="A865" s="32"/>
      <c r="B865" s="2"/>
      <c r="C865" s="2"/>
    </row>
    <row r="866">
      <c r="A866" s="32"/>
      <c r="B866" s="2"/>
      <c r="C866" s="2"/>
    </row>
    <row r="867">
      <c r="A867" s="32"/>
      <c r="B867" s="2"/>
      <c r="C867" s="2"/>
    </row>
    <row r="868">
      <c r="A868" s="32"/>
      <c r="B868" s="2"/>
      <c r="C868" s="2"/>
    </row>
    <row r="869">
      <c r="A869" s="32"/>
      <c r="B869" s="2"/>
      <c r="C869" s="2"/>
    </row>
    <row r="870">
      <c r="A870" s="32"/>
      <c r="B870" s="2"/>
      <c r="C870" s="2"/>
    </row>
    <row r="871">
      <c r="A871" s="32"/>
      <c r="B871" s="2"/>
      <c r="C871" s="2"/>
    </row>
    <row r="872">
      <c r="A872" s="32"/>
      <c r="B872" s="2"/>
      <c r="C872" s="2"/>
    </row>
    <row r="873">
      <c r="A873" s="32"/>
      <c r="B873" s="2"/>
      <c r="C873" s="2"/>
    </row>
    <row r="874">
      <c r="A874" s="32"/>
      <c r="B874" s="2"/>
      <c r="C874" s="2"/>
    </row>
    <row r="875">
      <c r="A875" s="32"/>
      <c r="B875" s="2"/>
      <c r="C875" s="2"/>
    </row>
    <row r="876">
      <c r="A876" s="32"/>
      <c r="B876" s="2"/>
      <c r="C876" s="2"/>
    </row>
    <row r="877">
      <c r="A877" s="32"/>
      <c r="B877" s="2"/>
      <c r="C877" s="2"/>
    </row>
    <row r="878">
      <c r="A878" s="32"/>
      <c r="B878" s="2"/>
      <c r="C878" s="2"/>
    </row>
    <row r="879">
      <c r="A879" s="32"/>
      <c r="B879" s="2"/>
      <c r="C879" s="2"/>
    </row>
    <row r="880">
      <c r="A880" s="32"/>
      <c r="B880" s="2"/>
      <c r="C880" s="2"/>
    </row>
    <row r="881">
      <c r="A881" s="32"/>
      <c r="B881" s="2"/>
      <c r="C881" s="2"/>
    </row>
    <row r="882">
      <c r="A882" s="32"/>
      <c r="B882" s="2"/>
      <c r="C882" s="2"/>
    </row>
    <row r="883">
      <c r="A883" s="32"/>
      <c r="B883" s="2"/>
      <c r="C883" s="2"/>
    </row>
    <row r="884">
      <c r="A884" s="32"/>
      <c r="B884" s="2"/>
      <c r="C884" s="2"/>
    </row>
    <row r="885">
      <c r="A885" s="32"/>
      <c r="B885" s="2"/>
      <c r="C885" s="2"/>
    </row>
    <row r="886">
      <c r="A886" s="32"/>
      <c r="B886" s="2"/>
      <c r="C886" s="2"/>
    </row>
    <row r="887">
      <c r="A887" s="32"/>
      <c r="B887" s="2"/>
      <c r="C887" s="2"/>
    </row>
    <row r="888">
      <c r="A888" s="32"/>
      <c r="B888" s="2"/>
      <c r="C888" s="2"/>
    </row>
    <row r="889">
      <c r="A889" s="32"/>
      <c r="B889" s="2"/>
      <c r="C889" s="2"/>
    </row>
    <row r="890">
      <c r="A890" s="32"/>
      <c r="B890" s="2"/>
      <c r="C890" s="2"/>
    </row>
    <row r="891">
      <c r="A891" s="32"/>
      <c r="B891" s="2"/>
      <c r="C891" s="2"/>
    </row>
    <row r="892">
      <c r="A892" s="32"/>
      <c r="B892" s="2"/>
      <c r="C892" s="2"/>
    </row>
    <row r="893">
      <c r="A893" s="32"/>
      <c r="B893" s="2"/>
      <c r="C893" s="2"/>
    </row>
    <row r="894">
      <c r="A894" s="32"/>
      <c r="B894" s="2"/>
      <c r="C894" s="2"/>
    </row>
    <row r="895">
      <c r="A895" s="32"/>
      <c r="B895" s="2"/>
      <c r="C895" s="2"/>
    </row>
    <row r="896">
      <c r="A896" s="32"/>
      <c r="B896" s="2"/>
      <c r="C896" s="2"/>
    </row>
    <row r="897">
      <c r="A897" s="32"/>
      <c r="B897" s="2"/>
      <c r="C897" s="2"/>
    </row>
    <row r="898">
      <c r="A898" s="32"/>
      <c r="B898" s="2"/>
      <c r="C898" s="2"/>
    </row>
    <row r="899">
      <c r="A899" s="32"/>
      <c r="B899" s="2"/>
      <c r="C899" s="2"/>
    </row>
    <row r="900">
      <c r="A900" s="32"/>
      <c r="B900" s="2"/>
      <c r="C900" s="2"/>
    </row>
    <row r="901">
      <c r="A901" s="32"/>
      <c r="B901" s="2"/>
      <c r="C901" s="2"/>
    </row>
    <row r="902">
      <c r="A902" s="32"/>
      <c r="B902" s="2"/>
      <c r="C902" s="2"/>
    </row>
    <row r="903">
      <c r="A903" s="32"/>
      <c r="B903" s="2"/>
      <c r="C903" s="2"/>
    </row>
    <row r="904">
      <c r="A904" s="32"/>
      <c r="B904" s="2"/>
      <c r="C904" s="2"/>
    </row>
    <row r="905">
      <c r="A905" s="32"/>
      <c r="B905" s="2"/>
      <c r="C905" s="2"/>
    </row>
    <row r="906">
      <c r="A906" s="32"/>
      <c r="B906" s="2"/>
      <c r="C906" s="2"/>
    </row>
    <row r="907">
      <c r="A907" s="32"/>
      <c r="B907" s="2"/>
      <c r="C907" s="2"/>
    </row>
    <row r="908">
      <c r="A908" s="32"/>
      <c r="B908" s="2"/>
      <c r="C908" s="2"/>
    </row>
    <row r="909">
      <c r="A909" s="32"/>
      <c r="B909" s="2"/>
      <c r="C909" s="2"/>
    </row>
    <row r="910">
      <c r="A910" s="32"/>
      <c r="B910" s="2"/>
      <c r="C910" s="2"/>
    </row>
    <row r="911">
      <c r="A911" s="32"/>
      <c r="B911" s="2"/>
      <c r="C911" s="2"/>
    </row>
    <row r="912">
      <c r="A912" s="32"/>
      <c r="B912" s="2"/>
      <c r="C912" s="2"/>
    </row>
    <row r="913">
      <c r="A913" s="32"/>
      <c r="B913" s="2"/>
      <c r="C913" s="2"/>
    </row>
    <row r="914">
      <c r="A914" s="32"/>
      <c r="B914" s="2"/>
      <c r="C914" s="2"/>
    </row>
    <row r="915">
      <c r="A915" s="32"/>
      <c r="B915" s="2"/>
      <c r="C915" s="2"/>
    </row>
    <row r="916">
      <c r="A916" s="32"/>
      <c r="B916" s="2"/>
      <c r="C916" s="2"/>
    </row>
    <row r="917">
      <c r="A917" s="32"/>
      <c r="B917" s="2"/>
      <c r="C917" s="2"/>
    </row>
    <row r="918">
      <c r="A918" s="32"/>
      <c r="B918" s="2"/>
      <c r="C918" s="2"/>
    </row>
    <row r="919">
      <c r="A919" s="32"/>
      <c r="B919" s="2"/>
      <c r="C919" s="2"/>
    </row>
    <row r="920">
      <c r="A920" s="32"/>
      <c r="B920" s="2"/>
      <c r="C920" s="2"/>
    </row>
    <row r="921">
      <c r="A921" s="32"/>
      <c r="B921" s="2"/>
      <c r="C921" s="2"/>
    </row>
    <row r="922">
      <c r="A922" s="32"/>
      <c r="B922" s="2"/>
      <c r="C922" s="2"/>
    </row>
    <row r="923">
      <c r="A923" s="32"/>
      <c r="B923" s="2"/>
      <c r="C923" s="2"/>
    </row>
    <row r="924">
      <c r="A924" s="32"/>
      <c r="B924" s="2"/>
      <c r="C924" s="2"/>
    </row>
    <row r="925">
      <c r="A925" s="32"/>
      <c r="B925" s="2"/>
      <c r="C925" s="2"/>
    </row>
    <row r="926">
      <c r="A926" s="32"/>
      <c r="B926" s="2"/>
      <c r="C926" s="2"/>
    </row>
    <row r="927">
      <c r="A927" s="32"/>
      <c r="B927" s="2"/>
      <c r="C927" s="2"/>
    </row>
    <row r="928">
      <c r="A928" s="32"/>
      <c r="B928" s="2"/>
      <c r="C928" s="2"/>
    </row>
    <row r="929">
      <c r="A929" s="32"/>
      <c r="B929" s="2"/>
      <c r="C929" s="2"/>
    </row>
    <row r="930">
      <c r="A930" s="32"/>
      <c r="B930" s="2"/>
      <c r="C930" s="2"/>
    </row>
    <row r="931">
      <c r="A931" s="32"/>
      <c r="B931" s="2"/>
      <c r="C931" s="2"/>
    </row>
    <row r="932">
      <c r="A932" s="32"/>
      <c r="B932" s="2"/>
      <c r="C932" s="2"/>
    </row>
    <row r="933">
      <c r="A933" s="32"/>
      <c r="B933" s="2"/>
      <c r="C933" s="2"/>
    </row>
    <row r="934">
      <c r="A934" s="32"/>
      <c r="B934" s="2"/>
      <c r="C934" s="2"/>
    </row>
    <row r="935">
      <c r="A935" s="32"/>
      <c r="B935" s="2"/>
      <c r="C935" s="2"/>
    </row>
    <row r="936">
      <c r="A936" s="32"/>
      <c r="B936" s="2"/>
      <c r="C936" s="2"/>
    </row>
    <row r="937">
      <c r="A937" s="32"/>
      <c r="B937" s="2"/>
      <c r="C937" s="2"/>
    </row>
    <row r="938">
      <c r="A938" s="32"/>
      <c r="B938" s="2"/>
      <c r="C938" s="2"/>
    </row>
    <row r="939">
      <c r="A939" s="32"/>
      <c r="B939" s="2"/>
      <c r="C939" s="2"/>
    </row>
    <row r="940">
      <c r="A940" s="32"/>
      <c r="B940" s="2"/>
      <c r="C940" s="2"/>
    </row>
    <row r="941">
      <c r="A941" s="32"/>
      <c r="B941" s="2"/>
      <c r="C941" s="2"/>
    </row>
    <row r="942">
      <c r="A942" s="32"/>
      <c r="B942" s="2"/>
      <c r="C942" s="2"/>
    </row>
    <row r="943">
      <c r="A943" s="32"/>
      <c r="B943" s="2"/>
      <c r="C943" s="2"/>
    </row>
    <row r="944">
      <c r="A944" s="32"/>
      <c r="B944" s="2"/>
      <c r="C944" s="2"/>
    </row>
    <row r="945">
      <c r="A945" s="32"/>
      <c r="B945" s="2"/>
      <c r="C945" s="2"/>
    </row>
    <row r="946">
      <c r="A946" s="32"/>
      <c r="B946" s="2"/>
      <c r="C946" s="2"/>
    </row>
    <row r="947">
      <c r="A947" s="32"/>
      <c r="B947" s="2"/>
      <c r="C947" s="2"/>
    </row>
    <row r="948">
      <c r="A948" s="32"/>
      <c r="B948" s="2"/>
      <c r="C948" s="2"/>
    </row>
    <row r="949">
      <c r="A949" s="32"/>
      <c r="B949" s="2"/>
      <c r="C949" s="2"/>
    </row>
    <row r="950">
      <c r="A950" s="32"/>
      <c r="B950" s="2"/>
      <c r="C950" s="2"/>
    </row>
    <row r="951">
      <c r="A951" s="32"/>
      <c r="B951" s="2"/>
      <c r="C951" s="2"/>
    </row>
    <row r="952">
      <c r="A952" s="32"/>
      <c r="B952" s="2"/>
      <c r="C952" s="2"/>
    </row>
    <row r="953">
      <c r="A953" s="32"/>
      <c r="B953" s="2"/>
      <c r="C953" s="2"/>
    </row>
    <row r="954">
      <c r="A954" s="32"/>
      <c r="B954" s="2"/>
      <c r="C954" s="2"/>
    </row>
    <row r="955">
      <c r="A955" s="32"/>
      <c r="B955" s="2"/>
      <c r="C955" s="2"/>
    </row>
    <row r="956">
      <c r="A956" s="32"/>
      <c r="B956" s="2"/>
      <c r="C956" s="2"/>
    </row>
    <row r="957">
      <c r="A957" s="32"/>
      <c r="B957" s="2"/>
      <c r="C957" s="2"/>
    </row>
    <row r="958">
      <c r="A958" s="32"/>
      <c r="B958" s="2"/>
      <c r="C958" s="2"/>
    </row>
    <row r="959">
      <c r="A959" s="32"/>
      <c r="B959" s="2"/>
      <c r="C959" s="2"/>
    </row>
    <row r="960">
      <c r="A960" s="32"/>
      <c r="B960" s="2"/>
      <c r="C960" s="2"/>
    </row>
    <row r="961">
      <c r="A961" s="32"/>
      <c r="B961" s="2"/>
      <c r="C961" s="2"/>
    </row>
    <row r="962">
      <c r="A962" s="32"/>
      <c r="B962" s="2"/>
      <c r="C962" s="2"/>
    </row>
    <row r="963">
      <c r="A963" s="32"/>
      <c r="B963" s="2"/>
      <c r="C963" s="2"/>
    </row>
    <row r="964">
      <c r="A964" s="32"/>
      <c r="B964" s="2"/>
      <c r="C964" s="2"/>
    </row>
    <row r="965">
      <c r="A965" s="32"/>
      <c r="B965" s="2"/>
      <c r="C965" s="2"/>
    </row>
    <row r="966">
      <c r="A966" s="32"/>
      <c r="B966" s="2"/>
      <c r="C966" s="2"/>
    </row>
    <row r="967">
      <c r="A967" s="32"/>
      <c r="B967" s="2"/>
      <c r="C967" s="2"/>
    </row>
    <row r="968">
      <c r="A968" s="32"/>
      <c r="B968" s="2"/>
      <c r="C968" s="2"/>
    </row>
    <row r="969">
      <c r="A969" s="32"/>
      <c r="B969" s="2"/>
      <c r="C969" s="2"/>
    </row>
    <row r="970">
      <c r="A970" s="32"/>
      <c r="B970" s="2"/>
      <c r="C970" s="2"/>
    </row>
    <row r="971">
      <c r="A971" s="32"/>
      <c r="B971" s="2"/>
      <c r="C971" s="2"/>
    </row>
    <row r="972">
      <c r="A972" s="32"/>
      <c r="B972" s="2"/>
      <c r="C972" s="2"/>
    </row>
    <row r="973">
      <c r="A973" s="32"/>
      <c r="B973" s="2"/>
      <c r="C973" s="2"/>
    </row>
    <row r="974">
      <c r="A974" s="32"/>
      <c r="B974" s="2"/>
      <c r="C974" s="2"/>
    </row>
    <row r="975">
      <c r="A975" s="32"/>
      <c r="B975" s="2"/>
      <c r="C975" s="2"/>
    </row>
    <row r="976">
      <c r="A976" s="32"/>
      <c r="B976" s="2"/>
      <c r="C976" s="2"/>
    </row>
    <row r="977">
      <c r="A977" s="32"/>
      <c r="B977" s="2"/>
      <c r="C977" s="2"/>
    </row>
    <row r="978">
      <c r="A978" s="32"/>
      <c r="B978" s="2"/>
      <c r="C978" s="2"/>
    </row>
    <row r="979">
      <c r="A979" s="32"/>
      <c r="B979" s="2"/>
      <c r="C979" s="2"/>
    </row>
    <row r="980">
      <c r="A980" s="32"/>
      <c r="B980" s="2"/>
      <c r="C980" s="2"/>
    </row>
    <row r="981">
      <c r="A981" s="32"/>
      <c r="B981" s="2"/>
      <c r="C981" s="2"/>
    </row>
    <row r="982">
      <c r="A982" s="32"/>
      <c r="B982" s="2"/>
      <c r="C982" s="2"/>
    </row>
    <row r="983">
      <c r="A983" s="32"/>
      <c r="B983" s="2"/>
      <c r="C983" s="2"/>
    </row>
    <row r="984">
      <c r="A984" s="32"/>
      <c r="B984" s="2"/>
      <c r="C984" s="2"/>
    </row>
    <row r="985">
      <c r="A985" s="32"/>
      <c r="B985" s="2"/>
      <c r="C985" s="2"/>
    </row>
    <row r="986">
      <c r="A986" s="32"/>
      <c r="B986" s="2"/>
      <c r="C986" s="2"/>
    </row>
    <row r="987">
      <c r="A987" s="32"/>
      <c r="B987" s="2"/>
      <c r="C987" s="2"/>
    </row>
  </sheetData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25"/>
    <col customWidth="1" min="6" max="6" width="15.88"/>
    <col customWidth="1" min="12" max="12" width="14.13"/>
  </cols>
  <sheetData>
    <row r="1"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15" t="s">
        <v>7</v>
      </c>
      <c r="B2" s="46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8"/>
    </row>
    <row r="3">
      <c r="A3" s="17"/>
      <c r="B3" s="18" t="s">
        <v>33</v>
      </c>
      <c r="C3" s="18" t="s">
        <v>34</v>
      </c>
      <c r="D3" s="18" t="s">
        <v>35</v>
      </c>
      <c r="E3" s="18" t="s">
        <v>36</v>
      </c>
      <c r="F3" s="18" t="s">
        <v>37</v>
      </c>
      <c r="G3" s="18" t="s">
        <v>38</v>
      </c>
      <c r="H3" s="18" t="s">
        <v>39</v>
      </c>
      <c r="I3" s="18" t="s">
        <v>40</v>
      </c>
      <c r="J3" s="18" t="s">
        <v>41</v>
      </c>
      <c r="K3" s="18" t="s">
        <v>42</v>
      </c>
      <c r="L3" s="18" t="s">
        <v>43</v>
      </c>
      <c r="M3" s="18" t="s">
        <v>44</v>
      </c>
      <c r="N3" s="18" t="s">
        <v>45</v>
      </c>
    </row>
    <row r="4">
      <c r="A4" s="21">
        <v>45390.0</v>
      </c>
      <c r="B4" s="8">
        <v>10000.0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>
      <c r="A5" s="21">
        <v>45393.0</v>
      </c>
      <c r="B5" s="8">
        <v>10000.0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>
      <c r="A6" s="21">
        <v>45397.0</v>
      </c>
      <c r="B6" s="8">
        <v>10000.0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>
      <c r="A7" s="21">
        <v>45401.0</v>
      </c>
      <c r="B7" s="8">
        <v>-30000.0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</row>
    <row r="8">
      <c r="A8" s="21">
        <v>45534.0</v>
      </c>
      <c r="B8" s="8"/>
      <c r="C8" s="8"/>
      <c r="D8" s="8"/>
      <c r="E8" s="8"/>
      <c r="F8" s="8">
        <v>22670.0</v>
      </c>
      <c r="G8" s="8"/>
      <c r="H8" s="8"/>
      <c r="I8" s="8"/>
      <c r="J8" s="8"/>
      <c r="K8" s="8"/>
      <c r="L8" s="8"/>
      <c r="M8" s="8"/>
      <c r="N8" s="8"/>
    </row>
    <row r="9">
      <c r="A9" s="21">
        <v>45538.0</v>
      </c>
      <c r="B9" s="8">
        <v>10000.0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>
      <c r="A10" s="21">
        <v>45918.0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>
      <c r="A11" s="19">
        <v>45572.0</v>
      </c>
      <c r="B11" s="7"/>
      <c r="C11" s="8"/>
      <c r="D11" s="8"/>
      <c r="E11" s="8"/>
      <c r="F11" s="8">
        <v>80770.0</v>
      </c>
      <c r="G11" s="8"/>
      <c r="H11" s="8"/>
      <c r="I11" s="8"/>
      <c r="J11" s="8"/>
      <c r="K11" s="8"/>
      <c r="L11" s="8"/>
      <c r="M11" s="8"/>
      <c r="N11" s="8"/>
    </row>
    <row r="12">
      <c r="A12" s="19">
        <v>45602.0</v>
      </c>
      <c r="B12" s="7"/>
      <c r="C12" s="8"/>
      <c r="D12" s="8"/>
      <c r="E12" s="8"/>
      <c r="F12" s="8">
        <v>103370.0</v>
      </c>
      <c r="G12" s="8"/>
      <c r="H12" s="8"/>
      <c r="I12" s="8"/>
      <c r="J12" s="8"/>
      <c r="K12" s="8"/>
      <c r="L12" s="8"/>
      <c r="M12" s="8"/>
      <c r="N12" s="8"/>
    </row>
    <row r="13">
      <c r="A13" s="19">
        <v>45628.0</v>
      </c>
      <c r="B13" s="8">
        <v>10000.0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</row>
    <row r="14">
      <c r="A14" s="19">
        <v>45628.0</v>
      </c>
      <c r="B14" s="8">
        <v>20000.0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>
      <c r="A15" s="19">
        <v>45646.0</v>
      </c>
      <c r="B15" s="8">
        <v>1000.0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</row>
    <row r="16">
      <c r="A16" s="19">
        <v>45649.0</v>
      </c>
      <c r="B16" s="8">
        <v>15000.0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</row>
    <row r="17">
      <c r="A17" s="19">
        <v>45678.0</v>
      </c>
      <c r="B17" s="8">
        <v>-1000.0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</row>
    <row r="18">
      <c r="A18" s="19">
        <v>45679.0</v>
      </c>
      <c r="B18" s="8">
        <v>-10000.0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</row>
    <row r="19">
      <c r="A19" s="19">
        <v>45684.0</v>
      </c>
      <c r="B19" s="8">
        <v>-10000.0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</row>
    <row r="20">
      <c r="A20" s="19">
        <v>45692.0</v>
      </c>
      <c r="B20" s="8">
        <v>-10000.0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</row>
    <row r="21">
      <c r="A21" s="19">
        <v>45695.0</v>
      </c>
      <c r="B21" s="8"/>
      <c r="C21" s="8"/>
      <c r="D21" s="8"/>
      <c r="E21" s="8"/>
      <c r="F21" s="8">
        <v>79770.0</v>
      </c>
      <c r="G21" s="8"/>
      <c r="H21" s="8"/>
      <c r="I21" s="8"/>
      <c r="J21" s="8"/>
      <c r="K21" s="8"/>
      <c r="L21" s="8"/>
      <c r="M21" s="8"/>
      <c r="N21" s="8"/>
    </row>
    <row r="22">
      <c r="A22" s="19">
        <v>45714.0</v>
      </c>
      <c r="B22" s="8">
        <v>10000.0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>
      <c r="A23" s="19">
        <v>45723.0</v>
      </c>
      <c r="B23" s="8">
        <v>-20000.0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>
      <c r="A24" s="19">
        <v>45733.0</v>
      </c>
      <c r="B24" s="8"/>
      <c r="C24" s="8"/>
      <c r="D24" s="8"/>
      <c r="E24" s="8"/>
      <c r="F24" s="8">
        <v>20770.0</v>
      </c>
      <c r="G24" s="8"/>
      <c r="H24" s="8"/>
      <c r="I24" s="8"/>
      <c r="J24" s="8"/>
      <c r="K24" s="8"/>
      <c r="L24" s="8"/>
      <c r="M24" s="8"/>
      <c r="N24" s="8"/>
    </row>
    <row r="25">
      <c r="A25" s="19">
        <v>45733.0</v>
      </c>
      <c r="B25" s="8"/>
      <c r="C25" s="8"/>
      <c r="D25" s="8"/>
      <c r="E25" s="8"/>
      <c r="F25" s="8">
        <v>65270.0</v>
      </c>
      <c r="G25" s="8"/>
      <c r="H25" s="8"/>
      <c r="I25" s="8"/>
      <c r="J25" s="8"/>
      <c r="K25" s="8"/>
      <c r="L25" s="8"/>
      <c r="M25" s="8"/>
      <c r="N25" s="8"/>
    </row>
    <row r="26">
      <c r="A26" s="19">
        <v>45740.0</v>
      </c>
      <c r="B26" s="8">
        <v>-3000.0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</row>
    <row r="27">
      <c r="A27" s="19">
        <v>45743.0</v>
      </c>
      <c r="B27" s="8">
        <v>-10000.0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>
      <c r="A28" s="19">
        <v>45747.0</v>
      </c>
      <c r="B28" s="8">
        <v>-2000.0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>
      <c r="A29" s="19">
        <v>45749.0</v>
      </c>
      <c r="B29" s="8"/>
      <c r="C29" s="8"/>
      <c r="D29" s="8"/>
      <c r="E29" s="8"/>
      <c r="F29" s="8">
        <v>89670.0</v>
      </c>
      <c r="G29" s="8"/>
      <c r="H29" s="8"/>
      <c r="I29" s="8"/>
      <c r="J29" s="8"/>
      <c r="K29" s="8"/>
      <c r="L29" s="8"/>
      <c r="M29" s="8"/>
      <c r="N29" s="8"/>
    </row>
    <row r="30">
      <c r="A30" s="19">
        <v>45776.0</v>
      </c>
      <c r="B30" s="8">
        <v>-20000.0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>
      <c r="A31" s="19">
        <v>45783.0</v>
      </c>
      <c r="B31" s="8"/>
      <c r="C31" s="8"/>
      <c r="D31" s="8"/>
      <c r="E31" s="8"/>
      <c r="F31" s="8">
        <v>46320.0</v>
      </c>
      <c r="G31" s="8"/>
      <c r="H31" s="8"/>
      <c r="I31" s="8"/>
      <c r="J31" s="8"/>
      <c r="K31" s="8"/>
      <c r="L31" s="8"/>
      <c r="M31" s="8"/>
      <c r="N31" s="8"/>
    </row>
    <row r="32">
      <c r="A32" s="19">
        <v>45805.0</v>
      </c>
      <c r="B32" s="8">
        <v>-10000.0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  <row r="33">
      <c r="A33" s="19">
        <v>45807.0</v>
      </c>
      <c r="B33" s="8">
        <v>-20000.0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>
      <c r="A34" s="19">
        <v>45819.0</v>
      </c>
      <c r="B34" s="8"/>
      <c r="C34" s="8"/>
      <c r="D34" s="8"/>
      <c r="E34" s="8"/>
      <c r="F34" s="8">
        <v>24970.0</v>
      </c>
      <c r="G34" s="8"/>
      <c r="H34" s="8"/>
      <c r="I34" s="8"/>
      <c r="J34" s="8"/>
      <c r="K34" s="8"/>
      <c r="L34" s="8"/>
      <c r="M34" s="8"/>
      <c r="N34" s="8"/>
    </row>
    <row r="35">
      <c r="A35" s="19">
        <v>45831.0</v>
      </c>
      <c r="B35" s="8"/>
      <c r="C35" s="8"/>
      <c r="D35" s="8">
        <v>-17160.11</v>
      </c>
      <c r="E35" s="8"/>
      <c r="F35" s="8"/>
      <c r="G35" s="8"/>
      <c r="H35" s="8"/>
      <c r="I35" s="8"/>
      <c r="J35" s="8"/>
      <c r="K35" s="8"/>
      <c r="L35" s="8"/>
      <c r="M35" s="8"/>
      <c r="N35" s="8"/>
    </row>
    <row r="36">
      <c r="A36" s="19">
        <v>45838.0</v>
      </c>
      <c r="B36" s="8"/>
      <c r="C36" s="8">
        <v>-6300.0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</row>
    <row r="37">
      <c r="A37" s="19">
        <v>45839.0</v>
      </c>
      <c r="B37" s="8"/>
      <c r="C37" s="8">
        <v>-10000.0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>
      <c r="A38" s="19">
        <v>45847.0</v>
      </c>
      <c r="B38" s="8">
        <v>-20000.0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</row>
    <row r="39">
      <c r="A39" s="19">
        <v>45854.0</v>
      </c>
      <c r="B39" s="8"/>
      <c r="C39" s="8"/>
      <c r="D39" s="8"/>
      <c r="E39" s="8"/>
      <c r="F39" s="8">
        <v>34620.0</v>
      </c>
      <c r="G39" s="8"/>
      <c r="H39" s="8"/>
      <c r="I39" s="8"/>
      <c r="J39" s="8"/>
      <c r="K39" s="8"/>
      <c r="L39" s="8"/>
      <c r="M39" s="8"/>
      <c r="N39" s="8"/>
    </row>
    <row r="40">
      <c r="A40" s="19">
        <v>45859.0</v>
      </c>
      <c r="B40" s="8">
        <v>-38500.0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</row>
    <row r="41">
      <c r="A41" s="19">
        <v>45867.0</v>
      </c>
      <c r="B41" s="8">
        <v>-30000.0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</row>
    <row r="42">
      <c r="A42" s="19">
        <v>45884.0</v>
      </c>
      <c r="B42" s="8">
        <v>-5000.0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</row>
    <row r="43">
      <c r="A43" s="19">
        <v>45887.0</v>
      </c>
      <c r="B43" s="8">
        <v>-5000.0</v>
      </c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>
      <c r="A44" s="19">
        <v>45887.0</v>
      </c>
      <c r="B44" s="8"/>
      <c r="C44" s="8"/>
      <c r="D44" s="8"/>
      <c r="E44" s="8"/>
      <c r="F44" s="8">
        <v>83770.0</v>
      </c>
      <c r="G44" s="8"/>
      <c r="H44" s="8"/>
      <c r="I44" s="8"/>
      <c r="J44" s="8"/>
      <c r="K44" s="8"/>
      <c r="L44" s="8"/>
      <c r="M44" s="8"/>
      <c r="N44" s="8"/>
    </row>
    <row r="45">
      <c r="A45" s="19">
        <v>45922.0</v>
      </c>
      <c r="B45" s="8">
        <v>-40000.0</v>
      </c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>
      <c r="A46" s="19">
        <v>45924.0</v>
      </c>
      <c r="B46" s="8"/>
      <c r="C46" s="8"/>
      <c r="D46" s="8"/>
      <c r="E46" s="8"/>
      <c r="F46" s="8">
        <v>27470.0</v>
      </c>
      <c r="G46" s="8"/>
      <c r="H46" s="8"/>
      <c r="I46" s="8"/>
      <c r="J46" s="8"/>
      <c r="K46" s="8"/>
      <c r="L46" s="8"/>
      <c r="M46" s="8"/>
      <c r="N46" s="8"/>
    </row>
    <row r="47">
      <c r="A47" s="19">
        <v>45936.0</v>
      </c>
      <c r="B47" s="8"/>
      <c r="C47" s="8"/>
      <c r="D47" s="8">
        <v>-25000.0</v>
      </c>
      <c r="E47" s="8"/>
      <c r="F47" s="8"/>
      <c r="G47" s="8"/>
      <c r="H47" s="8"/>
      <c r="I47" s="8"/>
      <c r="J47" s="8"/>
      <c r="K47" s="8"/>
      <c r="L47" s="8"/>
      <c r="M47" s="8"/>
      <c r="N47" s="8"/>
    </row>
    <row r="48">
      <c r="A48" s="19">
        <v>45938.0</v>
      </c>
      <c r="B48" s="8"/>
      <c r="C48" s="8"/>
      <c r="D48" s="8"/>
      <c r="E48" s="8"/>
      <c r="F48" s="8">
        <v>26420.0</v>
      </c>
      <c r="G48" s="8"/>
      <c r="H48" s="8"/>
      <c r="I48" s="8"/>
      <c r="J48" s="8"/>
      <c r="K48" s="8"/>
      <c r="L48" s="8"/>
      <c r="M48" s="8"/>
      <c r="N48" s="8"/>
    </row>
    <row r="49">
      <c r="A49" s="19">
        <v>45954.0</v>
      </c>
      <c r="B49" s="8"/>
      <c r="C49" s="8"/>
      <c r="D49" s="8"/>
      <c r="E49" s="8"/>
      <c r="F49" s="8">
        <v>23520.0</v>
      </c>
      <c r="G49" s="8"/>
      <c r="H49" s="8"/>
      <c r="I49" s="8"/>
      <c r="J49" s="8"/>
      <c r="K49" s="8"/>
      <c r="L49" s="8"/>
      <c r="M49" s="8"/>
      <c r="N49" s="8"/>
    </row>
    <row r="50">
      <c r="A50" s="19">
        <v>45979.0</v>
      </c>
      <c r="B50" s="8"/>
      <c r="C50" s="8"/>
      <c r="D50" s="8">
        <v>-50000.0</v>
      </c>
      <c r="E50" s="8"/>
      <c r="F50" s="8"/>
      <c r="G50" s="8"/>
      <c r="H50" s="8"/>
      <c r="I50" s="8"/>
      <c r="J50" s="8"/>
      <c r="K50" s="8"/>
      <c r="L50" s="8"/>
      <c r="M50" s="8"/>
      <c r="N50" s="8"/>
    </row>
    <row r="51">
      <c r="A51" s="19">
        <v>45981.0</v>
      </c>
      <c r="B51" s="8"/>
      <c r="C51" s="8"/>
      <c r="D51" s="8">
        <v>-10000.0</v>
      </c>
      <c r="E51" s="8"/>
      <c r="F51" s="8"/>
      <c r="G51" s="8"/>
      <c r="H51" s="8"/>
      <c r="I51" s="8"/>
      <c r="J51" s="8"/>
      <c r="K51" s="8"/>
      <c r="L51" s="8"/>
      <c r="M51" s="8"/>
      <c r="N51" s="8"/>
    </row>
    <row r="52">
      <c r="A52" s="19">
        <v>46007.0</v>
      </c>
      <c r="B52" s="8"/>
      <c r="C52" s="8">
        <v>-15000.0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</row>
    <row r="53">
      <c r="A53" s="19">
        <v>46010.0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>
        <v>-15000.0</v>
      </c>
    </row>
    <row r="54">
      <c r="A54" s="19">
        <v>46022.0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>
        <v>-5000.0</v>
      </c>
    </row>
    <row r="55">
      <c r="A55" s="19">
        <v>46036.0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>
        <v>-3000.0</v>
      </c>
      <c r="N55" s="8"/>
    </row>
    <row r="56">
      <c r="A56" s="19">
        <v>46042.0</v>
      </c>
      <c r="B56" s="8">
        <v>-3000.0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</row>
    <row r="57">
      <c r="A57" s="19">
        <v>46043.0</v>
      </c>
      <c r="B57" s="8">
        <v>-3000.0</v>
      </c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</row>
    <row r="58">
      <c r="A58" s="19">
        <v>46049.0</v>
      </c>
      <c r="B58" s="8"/>
      <c r="C58" s="8"/>
      <c r="D58" s="8">
        <v>-3000.0</v>
      </c>
      <c r="E58" s="8"/>
      <c r="F58" s="8"/>
      <c r="G58" s="8"/>
      <c r="H58" s="8"/>
      <c r="I58" s="8"/>
      <c r="J58" s="8"/>
      <c r="K58" s="8"/>
      <c r="L58" s="8"/>
      <c r="M58" s="8"/>
      <c r="N58" s="8"/>
    </row>
    <row r="59">
      <c r="A59" s="19">
        <v>46056.0</v>
      </c>
      <c r="B59" s="8"/>
      <c r="C59" s="8"/>
      <c r="D59" s="8"/>
      <c r="E59" s="8">
        <v>-2500.0</v>
      </c>
      <c r="F59" s="8"/>
      <c r="G59" s="8"/>
      <c r="H59" s="8"/>
      <c r="I59" s="8"/>
      <c r="J59" s="8"/>
      <c r="K59" s="8"/>
      <c r="L59" s="8"/>
      <c r="M59" s="8"/>
      <c r="N59" s="8"/>
    </row>
    <row r="60">
      <c r="A60" s="19">
        <v>46059.0</v>
      </c>
      <c r="B60" s="8"/>
      <c r="C60" s="8"/>
      <c r="D60" s="8"/>
      <c r="E60" s="8">
        <v>-3000.0</v>
      </c>
      <c r="F60" s="8"/>
      <c r="G60" s="8"/>
      <c r="H60" s="8"/>
      <c r="I60" s="8"/>
      <c r="J60" s="8"/>
      <c r="K60" s="8"/>
      <c r="L60" s="8"/>
      <c r="M60" s="8"/>
      <c r="N60" s="8"/>
    </row>
    <row r="61">
      <c r="A61" s="19">
        <v>46071.0</v>
      </c>
      <c r="B61" s="8"/>
      <c r="C61" s="8">
        <v>-5000.0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>
      <c r="A62" s="19">
        <v>46083.0</v>
      </c>
      <c r="B62" s="8">
        <v>194500.0</v>
      </c>
      <c r="C62" s="8">
        <v>36300.0</v>
      </c>
      <c r="D62" s="8">
        <v>105160.11</v>
      </c>
      <c r="E62" s="8">
        <v>5500.0</v>
      </c>
      <c r="F62" s="8"/>
      <c r="G62" s="8"/>
      <c r="H62" s="8"/>
      <c r="I62" s="8"/>
      <c r="J62" s="8"/>
      <c r="K62" s="8"/>
      <c r="L62" s="8"/>
      <c r="M62" s="8">
        <v>3000.0</v>
      </c>
      <c r="N62" s="8">
        <v>20000.0</v>
      </c>
    </row>
    <row r="63">
      <c r="A63" s="19">
        <v>46086.0</v>
      </c>
      <c r="B63" s="8"/>
      <c r="C63" s="8"/>
      <c r="D63" s="8"/>
      <c r="E63" s="8"/>
      <c r="F63" s="8"/>
      <c r="G63" s="8"/>
      <c r="H63" s="8">
        <v>5000.0</v>
      </c>
      <c r="I63" s="8"/>
      <c r="J63" s="8"/>
      <c r="K63" s="8"/>
      <c r="L63" s="8"/>
      <c r="M63" s="8"/>
      <c r="N63" s="8"/>
    </row>
    <row r="64">
      <c r="A64" s="19">
        <v>46087.0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>
        <v>10000.0</v>
      </c>
      <c r="M64" s="8"/>
      <c r="N64" s="8"/>
    </row>
    <row r="65">
      <c r="A65" s="19">
        <v>46093.0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>
        <v>10000.0</v>
      </c>
      <c r="M65" s="8"/>
      <c r="N65" s="8"/>
    </row>
    <row r="66">
      <c r="A66" s="19">
        <v>46102.0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>
        <v>7000.0</v>
      </c>
      <c r="M66" s="8"/>
      <c r="N66" s="8"/>
    </row>
    <row r="67">
      <c r="A67" s="19">
        <v>46118.0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>
        <v>5000.0</v>
      </c>
      <c r="M67" s="8"/>
      <c r="N67" s="8"/>
    </row>
    <row r="68">
      <c r="A68" s="19">
        <v>46126.0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>
        <v>-12000.0</v>
      </c>
      <c r="M68" s="8"/>
      <c r="N68" s="8"/>
    </row>
    <row r="69">
      <c r="A69" s="19">
        <v>46141.0</v>
      </c>
      <c r="B69" s="8"/>
      <c r="C69" s="8"/>
      <c r="D69" s="8">
        <v>8000.0</v>
      </c>
      <c r="E69" s="8"/>
      <c r="F69" s="8"/>
      <c r="G69" s="8"/>
      <c r="H69" s="8"/>
      <c r="I69" s="8"/>
      <c r="J69" s="8">
        <v>5000.0</v>
      </c>
      <c r="K69" s="8">
        <v>5000.0</v>
      </c>
      <c r="L69" s="8"/>
      <c r="M69" s="8"/>
      <c r="N69" s="8"/>
    </row>
    <row r="70">
      <c r="A70" s="19">
        <v>46143.0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>
        <v>1000.0</v>
      </c>
      <c r="M70" s="8"/>
      <c r="N70" s="8"/>
    </row>
    <row r="71">
      <c r="A71" s="19">
        <v>46146.0</v>
      </c>
      <c r="B71" s="8">
        <v>3000.0</v>
      </c>
      <c r="C71" s="8"/>
      <c r="D71" s="8">
        <v>8000.0</v>
      </c>
      <c r="E71" s="8"/>
      <c r="F71" s="8"/>
      <c r="G71" s="8"/>
      <c r="H71" s="8"/>
      <c r="I71" s="8"/>
      <c r="J71" s="8"/>
      <c r="K71" s="8"/>
      <c r="L71" s="8"/>
      <c r="M71" s="8"/>
      <c r="N71" s="8"/>
    </row>
    <row r="72">
      <c r="A72" s="19">
        <v>46147.0</v>
      </c>
      <c r="B72" s="8"/>
      <c r="C72" s="8">
        <v>20000.0</v>
      </c>
      <c r="D72" s="8">
        <v>2000.0</v>
      </c>
      <c r="E72" s="8"/>
      <c r="F72" s="8"/>
      <c r="G72" s="8"/>
      <c r="H72" s="8"/>
      <c r="I72" s="8"/>
      <c r="J72" s="8">
        <v>5000.0</v>
      </c>
      <c r="K72" s="8"/>
      <c r="L72" s="8"/>
      <c r="M72" s="8"/>
      <c r="N72" s="8"/>
    </row>
    <row r="73">
      <c r="A73" s="19">
        <v>46148.0</v>
      </c>
      <c r="B73" s="8"/>
      <c r="C73" s="8"/>
      <c r="D73" s="8">
        <v>10000.0</v>
      </c>
      <c r="E73" s="8"/>
      <c r="F73" s="8"/>
      <c r="G73" s="8"/>
      <c r="H73" s="8"/>
      <c r="I73" s="8"/>
      <c r="J73" s="8"/>
      <c r="K73" s="8"/>
      <c r="L73" s="8"/>
      <c r="M73" s="8"/>
      <c r="N73" s="8"/>
    </row>
    <row r="74">
      <c r="A74" s="19">
        <v>46189.0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>
        <v>-5000.0</v>
      </c>
      <c r="M74" s="8"/>
      <c r="N74" s="8"/>
    </row>
    <row r="75">
      <c r="A75" s="19">
        <v>46191.0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>
        <v>-8000.0</v>
      </c>
      <c r="M75" s="8"/>
      <c r="N75" s="8"/>
    </row>
    <row r="76">
      <c r="A76" s="19">
        <v>46202.0</v>
      </c>
      <c r="B76" s="8">
        <v>-3000.0</v>
      </c>
      <c r="C76" s="8">
        <v>-20000.0</v>
      </c>
      <c r="D76" s="8">
        <v>-28000.0</v>
      </c>
      <c r="E76" s="8"/>
      <c r="F76" s="8"/>
      <c r="G76" s="8"/>
      <c r="H76" s="8"/>
      <c r="I76" s="8"/>
      <c r="J76" s="8">
        <v>-10000.0</v>
      </c>
      <c r="K76" s="8">
        <v>-5000.0</v>
      </c>
      <c r="L76" s="8">
        <v>-8000.0</v>
      </c>
      <c r="M76" s="8"/>
      <c r="N76" s="8"/>
    </row>
    <row r="77">
      <c r="A77" s="19">
        <v>46251.0</v>
      </c>
      <c r="B77" s="8"/>
      <c r="C77" s="8"/>
      <c r="D77" s="8"/>
      <c r="E77" s="8">
        <v>3159.95</v>
      </c>
      <c r="F77" s="8"/>
      <c r="G77" s="8"/>
      <c r="H77" s="8"/>
      <c r="I77" s="8"/>
      <c r="J77" s="8"/>
      <c r="K77" s="8"/>
      <c r="L77" s="8">
        <v>17179.15</v>
      </c>
      <c r="M77" s="8">
        <v>49660.9</v>
      </c>
      <c r="N77" s="8"/>
    </row>
    <row r="78">
      <c r="A78" s="19">
        <v>46262.0</v>
      </c>
      <c r="B78" s="8"/>
      <c r="C78" s="8"/>
      <c r="D78" s="8"/>
      <c r="E78" s="8"/>
      <c r="F78" s="8"/>
      <c r="G78" s="8">
        <v>500.0</v>
      </c>
      <c r="H78" s="8"/>
      <c r="I78" s="8"/>
      <c r="J78" s="8"/>
      <c r="K78" s="8"/>
      <c r="L78" s="8"/>
      <c r="M78" s="8"/>
      <c r="N78" s="8"/>
    </row>
    <row r="79">
      <c r="A79" s="19">
        <v>46265.0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>
        <v>-17179.15</v>
      </c>
      <c r="M79" s="8"/>
      <c r="N79" s="8"/>
    </row>
    <row r="80">
      <c r="A80" s="19">
        <v>46266.0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>
        <v>1000.0</v>
      </c>
      <c r="N80" s="8"/>
    </row>
    <row r="81">
      <c r="A81" s="19">
        <v>46267.0</v>
      </c>
      <c r="B81" s="8"/>
      <c r="C81" s="8"/>
      <c r="D81" s="8">
        <v>4000.0</v>
      </c>
      <c r="E81" s="8">
        <v>6000.0</v>
      </c>
      <c r="F81" s="8"/>
      <c r="G81" s="8"/>
      <c r="H81" s="8"/>
      <c r="I81" s="8"/>
      <c r="J81" s="8"/>
      <c r="K81" s="8"/>
      <c r="L81" s="8"/>
      <c r="M81" s="8"/>
      <c r="N81" s="8"/>
    </row>
    <row r="82">
      <c r="A82" s="19">
        <v>46267.0</v>
      </c>
      <c r="B82" s="8"/>
      <c r="C82" s="8"/>
      <c r="D82" s="8"/>
      <c r="E82" s="8">
        <v>7000.0</v>
      </c>
      <c r="F82" s="8"/>
      <c r="G82" s="8"/>
      <c r="H82" s="8"/>
      <c r="I82" s="8"/>
      <c r="J82" s="8"/>
      <c r="K82" s="8"/>
      <c r="L82" s="8"/>
      <c r="M82" s="8"/>
      <c r="N82" s="8"/>
    </row>
    <row r="83">
      <c r="A83" s="19">
        <v>46269.0</v>
      </c>
      <c r="B83" s="8"/>
      <c r="C83" s="8"/>
      <c r="D83" s="8"/>
      <c r="E83" s="8"/>
      <c r="F83" s="8"/>
      <c r="G83" s="8"/>
      <c r="H83" s="8"/>
      <c r="I83" s="8"/>
      <c r="J83" s="8">
        <v>3000.0</v>
      </c>
      <c r="K83" s="8"/>
      <c r="L83" s="8"/>
      <c r="M83" s="8"/>
      <c r="N83" s="8"/>
    </row>
    <row r="84">
      <c r="A84" s="19">
        <v>46273.0</v>
      </c>
      <c r="B84" s="8"/>
      <c r="C84" s="8">
        <v>5000.0</v>
      </c>
      <c r="D84" s="8"/>
      <c r="E84" s="8"/>
      <c r="F84" s="8"/>
      <c r="G84" s="8"/>
      <c r="H84" s="8">
        <v>15000.0</v>
      </c>
      <c r="I84" s="8"/>
      <c r="J84" s="8"/>
      <c r="K84" s="8"/>
      <c r="L84" s="8"/>
      <c r="M84" s="8"/>
      <c r="N84" s="8"/>
    </row>
    <row r="85">
      <c r="A85" s="19">
        <v>46274.0</v>
      </c>
      <c r="B85" s="8"/>
      <c r="C85" s="8">
        <v>10000.0</v>
      </c>
      <c r="D85" s="8">
        <v>5000.0</v>
      </c>
      <c r="E85" s="8"/>
      <c r="F85" s="8"/>
      <c r="G85" s="8"/>
      <c r="H85" s="8"/>
      <c r="I85" s="8"/>
      <c r="J85" s="8">
        <v>5000.0</v>
      </c>
      <c r="K85" s="8"/>
      <c r="L85" s="8"/>
      <c r="M85" s="8"/>
      <c r="N85" s="8"/>
    </row>
    <row r="86">
      <c r="A86" s="19">
        <v>46275.0</v>
      </c>
      <c r="B86" s="8"/>
      <c r="C86" s="8"/>
      <c r="D86" s="8"/>
      <c r="E86" s="8"/>
      <c r="F86" s="8"/>
      <c r="G86" s="8"/>
      <c r="H86" s="8"/>
      <c r="I86" s="8"/>
      <c r="J86" s="8">
        <v>15000.0</v>
      </c>
      <c r="K86" s="8"/>
      <c r="L86" s="8"/>
      <c r="M86" s="8"/>
      <c r="N86" s="8"/>
    </row>
    <row r="87">
      <c r="A87" s="19">
        <v>46279.0</v>
      </c>
      <c r="B87" s="8"/>
      <c r="C87" s="8"/>
      <c r="D87" s="8"/>
      <c r="E87" s="8"/>
      <c r="F87" s="8"/>
      <c r="G87" s="8"/>
      <c r="H87" s="8">
        <v>3000.0</v>
      </c>
      <c r="I87" s="8"/>
      <c r="J87" s="8"/>
      <c r="K87" s="8"/>
      <c r="L87" s="8"/>
      <c r="M87" s="8"/>
      <c r="N87" s="8"/>
    </row>
    <row r="88">
      <c r="A88" s="19">
        <v>46280.0</v>
      </c>
      <c r="B88" s="8"/>
      <c r="C88" s="8"/>
      <c r="D88" s="8"/>
      <c r="E88" s="8"/>
      <c r="F88" s="8"/>
      <c r="G88" s="8"/>
      <c r="H88" s="8"/>
      <c r="I88" s="8">
        <v>2000.0</v>
      </c>
      <c r="J88" s="8"/>
      <c r="K88" s="8"/>
      <c r="L88" s="8"/>
      <c r="M88" s="8"/>
      <c r="N88" s="8"/>
    </row>
    <row r="89">
      <c r="A89" s="22" t="s">
        <v>15</v>
      </c>
      <c r="B89" s="7">
        <f>sum(B4:B76)</f>
        <v>0</v>
      </c>
      <c r="C89" s="49">
        <f>SUM(C4:C85)</f>
        <v>15000</v>
      </c>
      <c r="D89" s="49">
        <f>sum(D2:D85)</f>
        <v>9000</v>
      </c>
      <c r="E89" s="49">
        <f>sum(E1:E82)</f>
        <v>16159.95</v>
      </c>
      <c r="F89" s="7">
        <f>sum(F8:F61)</f>
        <v>729380</v>
      </c>
      <c r="G89" s="49">
        <f>sum(G20:G79)</f>
        <v>500</v>
      </c>
      <c r="H89" s="49">
        <f>sum(H3:H87)</f>
        <v>23000</v>
      </c>
      <c r="I89" s="49">
        <f>SUM(I3:I88)</f>
        <v>2000</v>
      </c>
      <c r="J89" s="49">
        <f>sum(J4:J86)</f>
        <v>23000</v>
      </c>
      <c r="K89" s="7">
        <f>sum(K4:K76)</f>
        <v>0</v>
      </c>
      <c r="L89" s="7">
        <f>sum(L27:L79)</f>
        <v>0</v>
      </c>
      <c r="M89" s="49">
        <f>sum(M4:M80)</f>
        <v>50660.9</v>
      </c>
      <c r="N89" s="7">
        <f>sum(N43:N62)</f>
        <v>0</v>
      </c>
    </row>
  </sheetData>
  <mergeCells count="2">
    <mergeCell ref="A2:A3"/>
    <mergeCell ref="B2:N2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5.75"/>
  </cols>
  <sheetData>
    <row r="1">
      <c r="A1" s="5" t="s">
        <v>46</v>
      </c>
      <c r="B1" s="5" t="s">
        <v>47</v>
      </c>
      <c r="C1" s="8" t="s">
        <v>48</v>
      </c>
      <c r="E1" s="5">
        <v>4.0</v>
      </c>
      <c r="F1" s="5" t="s">
        <v>49</v>
      </c>
      <c r="G1" s="7">
        <f>'Land acquisition'!F2</f>
        <v>624823.01</v>
      </c>
    </row>
    <row r="2">
      <c r="A2" s="5"/>
      <c r="B2" s="5" t="s">
        <v>25</v>
      </c>
      <c r="C2" s="8">
        <v>1100000.0</v>
      </c>
    </row>
    <row r="3">
      <c r="A3" s="5">
        <v>1.0</v>
      </c>
      <c r="B3" s="5" t="s">
        <v>50</v>
      </c>
      <c r="C3" s="7">
        <f>sum('Construction '!G2+Labour!G1)</f>
        <v>1228905.28</v>
      </c>
    </row>
    <row r="4">
      <c r="A4" s="5">
        <v>2.0</v>
      </c>
      <c r="B4" s="5" t="s">
        <v>51</v>
      </c>
      <c r="C4" s="7">
        <f>'Bank fees'!G2</f>
        <v>890</v>
      </c>
    </row>
    <row r="5">
      <c r="A5" s="5">
        <v>3.0</v>
      </c>
      <c r="B5" s="5" t="s">
        <v>52</v>
      </c>
      <c r="C5" s="7">
        <f>'Muncipality Expenses'!F2</f>
        <v>27538.5</v>
      </c>
    </row>
    <row r="6">
      <c r="A6" s="5">
        <v>5.0</v>
      </c>
      <c r="B6" s="5" t="s">
        <v>53</v>
      </c>
      <c r="C6" s="7">
        <f>'Loan Payment'!F3</f>
        <v>268177.22</v>
      </c>
      <c r="E6" s="2"/>
      <c r="G6" s="2"/>
    </row>
    <row r="7">
      <c r="A7" s="5">
        <v>6.0</v>
      </c>
      <c r="B7" s="5" t="s">
        <v>54</v>
      </c>
      <c r="C7" s="7">
        <f>Misc.!G1</f>
        <v>65.77</v>
      </c>
      <c r="E7" s="2"/>
    </row>
    <row r="8">
      <c r="A8" s="5">
        <v>8.0</v>
      </c>
      <c r="B8" s="5" t="s">
        <v>55</v>
      </c>
      <c r="C8" s="7">
        <f>'Accounting &amp;legal fee'!G2</f>
        <v>3500</v>
      </c>
    </row>
    <row r="9">
      <c r="A9" s="5">
        <v>9.0</v>
      </c>
      <c r="B9" s="5" t="s">
        <v>56</v>
      </c>
      <c r="C9" s="8">
        <v>82700.0</v>
      </c>
    </row>
    <row r="10">
      <c r="A10" s="5">
        <v>10.0</v>
      </c>
      <c r="B10" s="5" t="s">
        <v>57</v>
      </c>
      <c r="C10" s="7">
        <f>'Unit Sold'!C6</f>
        <v>243098.9</v>
      </c>
    </row>
    <row r="11">
      <c r="A11" s="5">
        <v>11.0</v>
      </c>
      <c r="B11" s="5" t="s">
        <v>58</v>
      </c>
      <c r="C11" s="8">
        <v>13000.0</v>
      </c>
    </row>
    <row r="12">
      <c r="A12" s="9"/>
      <c r="B12" s="9"/>
      <c r="C12" s="7"/>
    </row>
    <row r="13">
      <c r="A13" s="9"/>
      <c r="B13" s="50" t="s">
        <v>59</v>
      </c>
      <c r="C13" s="51">
        <f>sum(C1:C12)</f>
        <v>2967875.67</v>
      </c>
    </row>
    <row r="14">
      <c r="A14" s="9"/>
      <c r="B14" s="9"/>
      <c r="C14" s="7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</sheetData>
  <printOptions gridLines="1" horizontalCentered="1"/>
  <pageMargins bottom="0.75" footer="0.0" header="0.0" left="0.7" right="0.7" top="0.75"/>
  <pageSetup cellComments="atEnd" orientation="landscape" pageOrder="overThenDown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2" t="s">
        <v>60</v>
      </c>
      <c r="B1" s="52" t="s">
        <v>61</v>
      </c>
      <c r="C1" s="52" t="s">
        <v>62</v>
      </c>
      <c r="D1" s="52" t="s">
        <v>63</v>
      </c>
      <c r="E1" s="52" t="s">
        <v>64</v>
      </c>
      <c r="F1" s="52" t="s">
        <v>48</v>
      </c>
    </row>
    <row r="2">
      <c r="A2" s="53">
        <v>45494.0</v>
      </c>
      <c r="B2" s="54"/>
      <c r="C2" s="55" t="s">
        <v>65</v>
      </c>
      <c r="D2" s="55" t="s">
        <v>66</v>
      </c>
      <c r="E2" s="55">
        <v>-1038.0</v>
      </c>
      <c r="F2" s="56">
        <v>33.2</v>
      </c>
    </row>
    <row r="3">
      <c r="A3" s="57">
        <v>45491.0</v>
      </c>
      <c r="B3" s="58"/>
      <c r="C3" s="59" t="s">
        <v>65</v>
      </c>
      <c r="D3" s="59" t="s">
        <v>66</v>
      </c>
      <c r="E3" s="59">
        <v>-1038.0</v>
      </c>
      <c r="F3" s="60">
        <v>40.0</v>
      </c>
    </row>
    <row r="4">
      <c r="A4" s="53">
        <v>45488.0</v>
      </c>
      <c r="B4" s="54"/>
      <c r="C4" s="55" t="s">
        <v>67</v>
      </c>
      <c r="D4" s="55" t="s">
        <v>66</v>
      </c>
      <c r="E4" s="55">
        <v>-1038.0</v>
      </c>
      <c r="F4" s="56">
        <v>40.0</v>
      </c>
    </row>
    <row r="5">
      <c r="A5" s="57">
        <v>45487.0</v>
      </c>
      <c r="B5" s="58"/>
      <c r="C5" s="59" t="s">
        <v>68</v>
      </c>
      <c r="D5" s="59" t="s">
        <v>66</v>
      </c>
      <c r="E5" s="59">
        <v>-1038.0</v>
      </c>
      <c r="F5" s="60">
        <v>52.53</v>
      </c>
    </row>
    <row r="6">
      <c r="A6" s="53">
        <v>45484.0</v>
      </c>
      <c r="B6" s="54"/>
      <c r="C6" s="55" t="s">
        <v>65</v>
      </c>
      <c r="D6" s="55" t="s">
        <v>66</v>
      </c>
      <c r="E6" s="55">
        <v>-1038.0</v>
      </c>
      <c r="F6" s="56">
        <v>40.0</v>
      </c>
    </row>
    <row r="7">
      <c r="A7" s="57">
        <v>45482.0</v>
      </c>
      <c r="B7" s="58"/>
      <c r="C7" s="59" t="s">
        <v>69</v>
      </c>
      <c r="D7" s="59" t="s">
        <v>66</v>
      </c>
      <c r="E7" s="59">
        <v>-1038.0</v>
      </c>
      <c r="F7" s="60">
        <v>44.01</v>
      </c>
    </row>
    <row r="8">
      <c r="A8" s="53">
        <v>45479.0</v>
      </c>
      <c r="B8" s="54"/>
      <c r="C8" s="55" t="s">
        <v>70</v>
      </c>
      <c r="D8" s="55" t="s">
        <v>66</v>
      </c>
      <c r="E8" s="55">
        <v>-1038.0</v>
      </c>
      <c r="F8" s="56">
        <v>40.0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26.5"/>
    <col customWidth="1" min="5" max="5" width="9.38"/>
  </cols>
  <sheetData>
    <row r="1">
      <c r="A1" s="61" t="s">
        <v>7</v>
      </c>
      <c r="B1" s="62" t="s">
        <v>62</v>
      </c>
      <c r="C1" s="62" t="s">
        <v>62</v>
      </c>
      <c r="D1" s="16" t="s">
        <v>48</v>
      </c>
      <c r="E1" s="63" t="s">
        <v>62</v>
      </c>
      <c r="F1" s="64"/>
      <c r="G1" s="64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>
      <c r="A2" s="65">
        <v>45274.0</v>
      </c>
      <c r="B2" s="22" t="s">
        <v>71</v>
      </c>
      <c r="C2" s="5" t="s">
        <v>72</v>
      </c>
      <c r="D2" s="8">
        <v>12500.0</v>
      </c>
      <c r="E2" s="66"/>
      <c r="F2" s="66" t="s">
        <v>15</v>
      </c>
      <c r="G2" s="31">
        <f>sum(D2:D9996)</f>
        <v>1010251.1</v>
      </c>
    </row>
    <row r="3">
      <c r="A3" s="65">
        <v>45301.0</v>
      </c>
      <c r="B3" s="22" t="s">
        <v>71</v>
      </c>
      <c r="C3" s="5" t="s">
        <v>73</v>
      </c>
      <c r="D3" s="8">
        <v>300.0</v>
      </c>
      <c r="E3" s="9"/>
      <c r="F3" s="9"/>
      <c r="G3" s="9"/>
    </row>
    <row r="4">
      <c r="A4" s="65">
        <v>45310.0</v>
      </c>
      <c r="B4" s="22" t="s">
        <v>74</v>
      </c>
      <c r="C4" s="5" t="s">
        <v>75</v>
      </c>
      <c r="D4" s="8">
        <v>1245.0</v>
      </c>
      <c r="E4" s="9"/>
      <c r="F4" s="9"/>
      <c r="G4" s="9"/>
    </row>
    <row r="5">
      <c r="A5" s="65">
        <v>45344.0</v>
      </c>
      <c r="B5" s="22" t="s">
        <v>74</v>
      </c>
      <c r="C5" s="5" t="s">
        <v>75</v>
      </c>
      <c r="D5" s="8">
        <v>377.17</v>
      </c>
      <c r="E5" s="9"/>
      <c r="F5" s="9"/>
      <c r="G5" s="9"/>
    </row>
    <row r="6">
      <c r="A6" s="65">
        <v>45370.0</v>
      </c>
      <c r="B6" s="22" t="s">
        <v>76</v>
      </c>
      <c r="C6" s="5" t="s">
        <v>77</v>
      </c>
      <c r="D6" s="8">
        <v>3000.0</v>
      </c>
      <c r="E6" s="9"/>
      <c r="F6" s="9"/>
      <c r="G6" s="9"/>
    </row>
    <row r="7">
      <c r="A7" s="65">
        <v>45372.0</v>
      </c>
      <c r="B7" s="22" t="s">
        <v>78</v>
      </c>
      <c r="C7" s="5" t="s">
        <v>79</v>
      </c>
      <c r="D7" s="8">
        <v>1000.0</v>
      </c>
      <c r="E7" s="9"/>
      <c r="F7" s="9"/>
      <c r="G7" s="9"/>
    </row>
    <row r="8">
      <c r="A8" s="65">
        <v>45384.0</v>
      </c>
      <c r="B8" s="22" t="s">
        <v>80</v>
      </c>
      <c r="C8" s="5" t="s">
        <v>81</v>
      </c>
      <c r="D8" s="8">
        <v>-3112.5</v>
      </c>
      <c r="E8" s="9"/>
      <c r="F8" s="9"/>
      <c r="G8" s="9"/>
    </row>
    <row r="9">
      <c r="A9" s="65">
        <v>45384.0</v>
      </c>
      <c r="B9" s="22" t="s">
        <v>71</v>
      </c>
      <c r="C9" s="5" t="s">
        <v>82</v>
      </c>
      <c r="D9" s="8">
        <v>3112.5</v>
      </c>
      <c r="E9" s="9"/>
      <c r="F9" s="9"/>
      <c r="G9" s="9"/>
    </row>
    <row r="10">
      <c r="A10" s="65">
        <v>45404.0</v>
      </c>
      <c r="B10" s="22" t="s">
        <v>74</v>
      </c>
      <c r="C10" s="5" t="s">
        <v>75</v>
      </c>
      <c r="D10" s="8">
        <v>1396.23</v>
      </c>
      <c r="E10" s="9"/>
      <c r="F10" s="9"/>
      <c r="G10" s="9"/>
    </row>
    <row r="11">
      <c r="A11" s="65">
        <v>45404.0</v>
      </c>
      <c r="B11" s="22" t="s">
        <v>83</v>
      </c>
      <c r="C11" s="5" t="s">
        <v>84</v>
      </c>
      <c r="D11" s="8">
        <v>1350.0</v>
      </c>
      <c r="E11" s="9"/>
      <c r="F11" s="9"/>
      <c r="G11" s="9"/>
    </row>
    <row r="12">
      <c r="A12" s="65">
        <v>45405.0</v>
      </c>
      <c r="B12" s="22" t="s">
        <v>85</v>
      </c>
      <c r="C12" s="5" t="s">
        <v>86</v>
      </c>
      <c r="D12" s="8">
        <v>600.0</v>
      </c>
      <c r="E12" s="9"/>
      <c r="F12" s="9"/>
      <c r="G12" s="9"/>
    </row>
    <row r="13">
      <c r="A13" s="65">
        <v>45434.0</v>
      </c>
      <c r="B13" s="22" t="s">
        <v>74</v>
      </c>
      <c r="C13" s="5" t="s">
        <v>75</v>
      </c>
      <c r="D13" s="8">
        <v>16957.73</v>
      </c>
      <c r="E13" s="9"/>
      <c r="F13" s="9"/>
      <c r="G13" s="9"/>
    </row>
    <row r="14">
      <c r="A14" s="61">
        <v>45485.0</v>
      </c>
      <c r="B14" s="62" t="s">
        <v>87</v>
      </c>
      <c r="C14" s="4" t="s">
        <v>88</v>
      </c>
      <c r="D14" s="12">
        <v>2000.0</v>
      </c>
    </row>
    <row r="15">
      <c r="A15" s="61">
        <v>45496.0</v>
      </c>
      <c r="B15" s="62" t="s">
        <v>74</v>
      </c>
      <c r="C15" s="4" t="s">
        <v>75</v>
      </c>
      <c r="D15" s="12">
        <v>977.59</v>
      </c>
    </row>
    <row r="16">
      <c r="A16" s="61">
        <v>45524.0</v>
      </c>
      <c r="B16" s="62" t="s">
        <v>74</v>
      </c>
      <c r="C16" s="4" t="s">
        <v>75</v>
      </c>
      <c r="D16" s="12">
        <v>3699.74</v>
      </c>
    </row>
    <row r="17">
      <c r="A17" s="67">
        <v>45526.0</v>
      </c>
      <c r="B17" s="62" t="s">
        <v>89</v>
      </c>
      <c r="C17" s="4" t="s">
        <v>90</v>
      </c>
      <c r="D17" s="12">
        <v>183.96</v>
      </c>
    </row>
    <row r="18">
      <c r="A18" s="61">
        <v>45527.0</v>
      </c>
      <c r="B18" s="62" t="s">
        <v>91</v>
      </c>
      <c r="C18" s="4" t="s">
        <v>90</v>
      </c>
      <c r="D18" s="12">
        <v>600.0</v>
      </c>
    </row>
    <row r="19">
      <c r="A19" s="61">
        <v>45526.0</v>
      </c>
      <c r="B19" s="62" t="s">
        <v>92</v>
      </c>
      <c r="C19" s="4" t="s">
        <v>90</v>
      </c>
      <c r="D19" s="12">
        <v>900.0</v>
      </c>
    </row>
    <row r="20">
      <c r="A20" s="61">
        <v>45530.0</v>
      </c>
      <c r="B20" s="62" t="s">
        <v>93</v>
      </c>
      <c r="C20" s="4" t="s">
        <v>94</v>
      </c>
      <c r="D20" s="12">
        <v>1100.0</v>
      </c>
    </row>
    <row r="21">
      <c r="A21" s="61">
        <v>45539.0</v>
      </c>
      <c r="B21" s="62" t="s">
        <v>95</v>
      </c>
      <c r="C21" s="4" t="s">
        <v>96</v>
      </c>
      <c r="D21" s="12">
        <v>500.0</v>
      </c>
    </row>
    <row r="22">
      <c r="A22" s="67">
        <v>45539.0</v>
      </c>
      <c r="B22" s="62" t="s">
        <v>97</v>
      </c>
      <c r="C22" s="4" t="s">
        <v>98</v>
      </c>
      <c r="D22" s="12">
        <v>1500.0</v>
      </c>
    </row>
    <row r="23">
      <c r="A23" s="61">
        <v>45558.0</v>
      </c>
      <c r="B23" s="62" t="s">
        <v>74</v>
      </c>
      <c r="C23" s="4" t="s">
        <v>75</v>
      </c>
      <c r="D23" s="12">
        <v>19283.54</v>
      </c>
    </row>
    <row r="24">
      <c r="A24" s="61">
        <v>45560.0</v>
      </c>
      <c r="B24" s="62" t="s">
        <v>99</v>
      </c>
      <c r="C24" s="4" t="s">
        <v>100</v>
      </c>
      <c r="D24" s="12">
        <v>3950.0</v>
      </c>
    </row>
    <row r="25">
      <c r="A25" s="61">
        <v>45930.0</v>
      </c>
      <c r="B25" s="62" t="s">
        <v>101</v>
      </c>
      <c r="C25" s="4" t="s">
        <v>102</v>
      </c>
      <c r="D25" s="12">
        <v>180.0</v>
      </c>
    </row>
    <row r="26">
      <c r="A26" s="61">
        <v>45565.0</v>
      </c>
      <c r="B26" s="62" t="s">
        <v>103</v>
      </c>
      <c r="C26" s="4" t="s">
        <v>104</v>
      </c>
      <c r="D26" s="12">
        <v>2150.0</v>
      </c>
    </row>
    <row r="27">
      <c r="A27" s="61">
        <v>45565.0</v>
      </c>
      <c r="B27" s="62" t="s">
        <v>105</v>
      </c>
      <c r="C27" s="4" t="s">
        <v>100</v>
      </c>
      <c r="D27" s="12">
        <v>15580.0</v>
      </c>
    </row>
    <row r="28">
      <c r="A28" s="61">
        <v>45567.0</v>
      </c>
      <c r="B28" s="62" t="s">
        <v>106</v>
      </c>
      <c r="C28" s="4" t="s">
        <v>107</v>
      </c>
      <c r="D28" s="12">
        <v>5205.0</v>
      </c>
    </row>
    <row r="29">
      <c r="A29" s="61">
        <v>45580.0</v>
      </c>
      <c r="B29" s="62" t="s">
        <v>108</v>
      </c>
      <c r="C29" s="4" t="s">
        <v>90</v>
      </c>
      <c r="D29" s="12">
        <v>390.0</v>
      </c>
    </row>
    <row r="30">
      <c r="A30" s="68">
        <v>45580.0</v>
      </c>
      <c r="B30" s="4" t="s">
        <v>109</v>
      </c>
      <c r="C30" s="4" t="s">
        <v>110</v>
      </c>
      <c r="D30" s="12">
        <v>3000.0</v>
      </c>
    </row>
    <row r="31">
      <c r="A31" s="61">
        <v>45582.0</v>
      </c>
      <c r="B31" s="62" t="s">
        <v>111</v>
      </c>
      <c r="C31" s="4" t="s">
        <v>112</v>
      </c>
      <c r="D31" s="12">
        <v>2850.0</v>
      </c>
    </row>
    <row r="32">
      <c r="A32" s="61">
        <v>45587.0</v>
      </c>
      <c r="B32" s="62" t="s">
        <v>74</v>
      </c>
      <c r="C32" s="4" t="s">
        <v>75</v>
      </c>
      <c r="D32" s="12">
        <v>1529.32</v>
      </c>
    </row>
    <row r="33">
      <c r="A33" s="61">
        <v>45596.0</v>
      </c>
      <c r="B33" s="62" t="s">
        <v>113</v>
      </c>
      <c r="C33" s="4" t="s">
        <v>114</v>
      </c>
      <c r="D33" s="12">
        <v>5175.0</v>
      </c>
    </row>
    <row r="34">
      <c r="A34" s="61">
        <v>45603.0</v>
      </c>
      <c r="B34" s="62" t="s">
        <v>115</v>
      </c>
      <c r="C34" s="4" t="s">
        <v>96</v>
      </c>
      <c r="D34" s="12">
        <v>600.0</v>
      </c>
    </row>
    <row r="35">
      <c r="A35" s="61">
        <v>45608.0</v>
      </c>
      <c r="B35" s="62" t="s">
        <v>116</v>
      </c>
      <c r="C35" s="4" t="s">
        <v>117</v>
      </c>
      <c r="D35" s="12">
        <v>1950.0</v>
      </c>
    </row>
    <row r="36">
      <c r="A36" s="68">
        <v>45618.0</v>
      </c>
      <c r="B36" s="4" t="s">
        <v>74</v>
      </c>
      <c r="C36" s="4" t="s">
        <v>75</v>
      </c>
      <c r="D36" s="12">
        <v>14564.26</v>
      </c>
    </row>
    <row r="37">
      <c r="A37" s="61">
        <v>45622.0</v>
      </c>
      <c r="B37" s="62" t="s">
        <v>118</v>
      </c>
      <c r="C37" s="4" t="s">
        <v>96</v>
      </c>
      <c r="D37" s="12">
        <v>160.0</v>
      </c>
    </row>
    <row r="38">
      <c r="A38" s="61">
        <v>45623.0</v>
      </c>
      <c r="B38" s="62" t="s">
        <v>74</v>
      </c>
      <c r="C38" s="4" t="s">
        <v>75</v>
      </c>
      <c r="D38" s="12">
        <v>151.81</v>
      </c>
    </row>
    <row r="39">
      <c r="A39" s="61">
        <v>45625.0</v>
      </c>
      <c r="B39" s="62" t="s">
        <v>119</v>
      </c>
      <c r="C39" s="4" t="s">
        <v>120</v>
      </c>
      <c r="D39" s="12">
        <v>700.0</v>
      </c>
    </row>
    <row r="40">
      <c r="A40" s="61">
        <v>45629.0</v>
      </c>
      <c r="B40" s="62" t="s">
        <v>121</v>
      </c>
      <c r="C40" s="4" t="s">
        <v>122</v>
      </c>
      <c r="D40" s="12">
        <v>1600.0</v>
      </c>
    </row>
    <row r="41">
      <c r="A41" s="61">
        <v>45649.0</v>
      </c>
      <c r="B41" s="62" t="s">
        <v>74</v>
      </c>
      <c r="C41" s="4" t="s">
        <v>75</v>
      </c>
      <c r="D41" s="12">
        <v>17822.44</v>
      </c>
    </row>
    <row r="42">
      <c r="A42" s="61">
        <v>45649.0</v>
      </c>
      <c r="B42" s="62" t="s">
        <v>123</v>
      </c>
      <c r="C42" s="4" t="s">
        <v>90</v>
      </c>
      <c r="D42" s="12">
        <v>112.0</v>
      </c>
    </row>
    <row r="43">
      <c r="A43" s="61">
        <v>45671.0</v>
      </c>
      <c r="B43" s="62" t="s">
        <v>124</v>
      </c>
      <c r="C43" s="4" t="s">
        <v>125</v>
      </c>
      <c r="D43" s="12">
        <v>3000.0</v>
      </c>
    </row>
    <row r="44">
      <c r="A44" s="61">
        <v>45674.0</v>
      </c>
      <c r="B44" s="62" t="s">
        <v>126</v>
      </c>
      <c r="C44" s="4" t="s">
        <v>127</v>
      </c>
      <c r="D44" s="12">
        <v>3000.0</v>
      </c>
    </row>
    <row r="45">
      <c r="A45" s="61">
        <v>45674.0</v>
      </c>
      <c r="B45" s="62" t="s">
        <v>128</v>
      </c>
      <c r="C45" s="4" t="s">
        <v>129</v>
      </c>
      <c r="D45" s="12">
        <v>15000.0</v>
      </c>
    </row>
    <row r="46">
      <c r="A46" s="61">
        <v>45679.0</v>
      </c>
      <c r="B46" s="62" t="s">
        <v>71</v>
      </c>
      <c r="C46" s="4" t="s">
        <v>130</v>
      </c>
      <c r="D46" s="12">
        <v>9475.19</v>
      </c>
    </row>
    <row r="47">
      <c r="A47" s="61">
        <v>45699.0</v>
      </c>
      <c r="B47" s="62" t="s">
        <v>131</v>
      </c>
      <c r="C47" s="4" t="s">
        <v>132</v>
      </c>
      <c r="D47" s="12">
        <v>5200.0</v>
      </c>
    </row>
    <row r="48">
      <c r="A48" s="61">
        <v>45706.0</v>
      </c>
      <c r="B48" s="62" t="s">
        <v>71</v>
      </c>
      <c r="C48" s="4" t="s">
        <v>133</v>
      </c>
      <c r="D48" s="12">
        <v>8996.55</v>
      </c>
    </row>
    <row r="49">
      <c r="A49" s="61">
        <v>45708.0</v>
      </c>
      <c r="B49" s="62" t="s">
        <v>71</v>
      </c>
      <c r="C49" s="4" t="s">
        <v>134</v>
      </c>
      <c r="D49" s="12">
        <v>30090.43</v>
      </c>
    </row>
    <row r="50">
      <c r="A50" s="61">
        <v>45708.0</v>
      </c>
      <c r="B50" s="62" t="s">
        <v>135</v>
      </c>
      <c r="C50" s="4" t="s">
        <v>129</v>
      </c>
      <c r="D50" s="12">
        <v>13000.0</v>
      </c>
    </row>
    <row r="51">
      <c r="A51" s="61">
        <v>45722.0</v>
      </c>
      <c r="B51" s="62" t="s">
        <v>136</v>
      </c>
      <c r="C51" s="4" t="s">
        <v>90</v>
      </c>
      <c r="D51" s="12">
        <v>320.0</v>
      </c>
    </row>
    <row r="52">
      <c r="A52" s="61">
        <v>45723.0</v>
      </c>
      <c r="B52" s="62" t="s">
        <v>137</v>
      </c>
      <c r="C52" s="4" t="s">
        <v>138</v>
      </c>
      <c r="D52" s="12">
        <v>7000.0</v>
      </c>
    </row>
    <row r="53">
      <c r="A53" s="61">
        <v>45723.0</v>
      </c>
      <c r="B53" s="62" t="s">
        <v>139</v>
      </c>
      <c r="C53" s="4" t="s">
        <v>140</v>
      </c>
      <c r="D53" s="12">
        <v>7000.0</v>
      </c>
    </row>
    <row r="54">
      <c r="A54" s="61">
        <v>45733.0</v>
      </c>
      <c r="B54" s="62" t="s">
        <v>141</v>
      </c>
      <c r="C54" s="4" t="s">
        <v>127</v>
      </c>
      <c r="D54" s="12">
        <v>5000.0</v>
      </c>
    </row>
    <row r="55">
      <c r="A55" s="61">
        <v>45737.0</v>
      </c>
      <c r="B55" s="62" t="s">
        <v>71</v>
      </c>
      <c r="C55" s="4" t="s">
        <v>75</v>
      </c>
      <c r="D55" s="12">
        <v>45127.1</v>
      </c>
    </row>
    <row r="56">
      <c r="A56" s="61">
        <v>45737.0</v>
      </c>
      <c r="B56" s="62" t="s">
        <v>142</v>
      </c>
      <c r="C56" s="4" t="s">
        <v>143</v>
      </c>
      <c r="D56" s="12">
        <v>10000.0</v>
      </c>
    </row>
    <row r="57">
      <c r="A57" s="61">
        <v>45741.0</v>
      </c>
      <c r="B57" s="62" t="s">
        <v>144</v>
      </c>
      <c r="C57" s="4" t="s">
        <v>129</v>
      </c>
      <c r="D57" s="12">
        <v>1000.0</v>
      </c>
    </row>
    <row r="58">
      <c r="A58" s="61">
        <v>45741.0</v>
      </c>
      <c r="B58" s="62" t="s">
        <v>145</v>
      </c>
      <c r="C58" s="4" t="s">
        <v>129</v>
      </c>
      <c r="D58" s="12">
        <v>2625.0</v>
      </c>
    </row>
    <row r="59">
      <c r="A59" s="61">
        <v>45741.0</v>
      </c>
      <c r="B59" s="62" t="s">
        <v>146</v>
      </c>
      <c r="C59" s="4" t="s">
        <v>129</v>
      </c>
      <c r="D59" s="12">
        <v>15000.0</v>
      </c>
    </row>
    <row r="60">
      <c r="A60" s="61">
        <v>45750.0</v>
      </c>
      <c r="B60" s="62" t="s">
        <v>147</v>
      </c>
      <c r="C60" s="4" t="s">
        <v>148</v>
      </c>
      <c r="D60" s="12">
        <v>5000.0</v>
      </c>
    </row>
    <row r="61">
      <c r="A61" s="61">
        <v>45751.0</v>
      </c>
      <c r="B61" s="62" t="s">
        <v>149</v>
      </c>
      <c r="C61" s="4" t="s">
        <v>150</v>
      </c>
      <c r="D61" s="12">
        <v>2400.0</v>
      </c>
    </row>
    <row r="62">
      <c r="A62" s="61">
        <v>45762.0</v>
      </c>
      <c r="B62" s="62" t="s">
        <v>71</v>
      </c>
      <c r="C62" s="4" t="s">
        <v>134</v>
      </c>
      <c r="D62" s="12">
        <v>38166.09</v>
      </c>
    </row>
    <row r="63">
      <c r="A63" s="61">
        <v>45763.0</v>
      </c>
      <c r="B63" s="62" t="s">
        <v>151</v>
      </c>
      <c r="C63" s="4" t="s">
        <v>152</v>
      </c>
      <c r="D63" s="12">
        <v>8000.0</v>
      </c>
    </row>
    <row r="64">
      <c r="A64" s="61">
        <v>45771.0</v>
      </c>
      <c r="B64" s="62" t="s">
        <v>153</v>
      </c>
      <c r="C64" s="4" t="s">
        <v>138</v>
      </c>
      <c r="D64" s="12">
        <v>4000.0</v>
      </c>
    </row>
    <row r="65">
      <c r="A65" s="61">
        <v>45775.0</v>
      </c>
      <c r="B65" s="62" t="s">
        <v>154</v>
      </c>
      <c r="C65" s="4" t="s">
        <v>140</v>
      </c>
      <c r="D65" s="12">
        <v>3000.0</v>
      </c>
    </row>
    <row r="66">
      <c r="A66" s="61">
        <v>45775.0</v>
      </c>
      <c r="B66" s="62" t="s">
        <v>155</v>
      </c>
      <c r="C66" s="4" t="s">
        <v>152</v>
      </c>
      <c r="D66" s="12">
        <v>8000.0</v>
      </c>
    </row>
    <row r="67">
      <c r="A67" s="61">
        <v>45785.0</v>
      </c>
      <c r="B67" s="62" t="s">
        <v>156</v>
      </c>
      <c r="C67" s="4" t="s">
        <v>138</v>
      </c>
      <c r="D67" s="12">
        <v>7000.0</v>
      </c>
    </row>
    <row r="68">
      <c r="A68" s="61">
        <v>45791.0</v>
      </c>
      <c r="B68" s="62" t="s">
        <v>71</v>
      </c>
      <c r="C68" s="4" t="s">
        <v>130</v>
      </c>
      <c r="D68" s="12">
        <v>10814.16</v>
      </c>
    </row>
    <row r="69">
      <c r="A69" s="61">
        <v>45793.0</v>
      </c>
      <c r="B69" s="62" t="s">
        <v>71</v>
      </c>
      <c r="C69" s="4" t="s">
        <v>134</v>
      </c>
      <c r="D69" s="12">
        <v>10694.15</v>
      </c>
    </row>
    <row r="70">
      <c r="A70" s="61">
        <v>45796.0</v>
      </c>
      <c r="B70" s="62" t="s">
        <v>157</v>
      </c>
      <c r="C70" s="4" t="s">
        <v>143</v>
      </c>
      <c r="D70" s="12">
        <v>10000.0</v>
      </c>
    </row>
    <row r="71">
      <c r="A71" s="61">
        <v>45798.0</v>
      </c>
      <c r="B71" s="62" t="s">
        <v>158</v>
      </c>
      <c r="C71" s="4" t="s">
        <v>129</v>
      </c>
      <c r="D71" s="12">
        <v>750.0</v>
      </c>
    </row>
    <row r="72">
      <c r="A72" s="61">
        <v>45804.0</v>
      </c>
      <c r="B72" s="62" t="s">
        <v>159</v>
      </c>
      <c r="C72" s="4" t="s">
        <v>160</v>
      </c>
      <c r="D72" s="12">
        <v>350.0</v>
      </c>
    </row>
    <row r="73">
      <c r="A73" s="61">
        <v>45806.0</v>
      </c>
      <c r="B73" s="62" t="s">
        <v>161</v>
      </c>
      <c r="C73" s="4" t="s">
        <v>162</v>
      </c>
      <c r="D73" s="12">
        <v>280.0</v>
      </c>
    </row>
    <row r="74">
      <c r="A74" s="61">
        <v>45810.0</v>
      </c>
      <c r="B74" s="62" t="s">
        <v>163</v>
      </c>
      <c r="C74" s="4" t="s">
        <v>164</v>
      </c>
      <c r="D74" s="12">
        <v>900.0</v>
      </c>
    </row>
    <row r="75">
      <c r="A75" s="61">
        <v>45811.0</v>
      </c>
      <c r="B75" s="62" t="s">
        <v>165</v>
      </c>
      <c r="C75" s="4" t="s">
        <v>166</v>
      </c>
      <c r="D75" s="12">
        <v>1950.0</v>
      </c>
    </row>
    <row r="76">
      <c r="A76" s="61">
        <v>45813.0</v>
      </c>
      <c r="B76" s="62" t="s">
        <v>167</v>
      </c>
      <c r="C76" s="4" t="s">
        <v>168</v>
      </c>
      <c r="D76" s="12">
        <v>3000.0</v>
      </c>
    </row>
    <row r="77">
      <c r="A77" s="61">
        <v>45829.0</v>
      </c>
      <c r="B77" s="62" t="s">
        <v>71</v>
      </c>
      <c r="C77" s="4" t="s">
        <v>169</v>
      </c>
      <c r="D77" s="12">
        <v>-25000.0</v>
      </c>
    </row>
    <row r="78">
      <c r="A78" s="61">
        <v>45829.0</v>
      </c>
      <c r="B78" s="62" t="s">
        <v>71</v>
      </c>
      <c r="C78" s="4" t="s">
        <v>134</v>
      </c>
      <c r="D78" s="12">
        <v>25000.0</v>
      </c>
    </row>
    <row r="79">
      <c r="A79" s="61">
        <v>45829.0</v>
      </c>
      <c r="B79" s="62" t="s">
        <v>71</v>
      </c>
      <c r="C79" s="4" t="s">
        <v>134</v>
      </c>
      <c r="D79" s="12">
        <v>42160.11</v>
      </c>
    </row>
    <row r="80">
      <c r="A80" s="61">
        <v>45831.0</v>
      </c>
      <c r="B80" s="62" t="s">
        <v>170</v>
      </c>
      <c r="C80" s="4" t="s">
        <v>127</v>
      </c>
      <c r="D80" s="12">
        <v>5000.0</v>
      </c>
    </row>
    <row r="81">
      <c r="A81" s="61">
        <v>45832.0</v>
      </c>
      <c r="B81" s="62" t="s">
        <v>171</v>
      </c>
      <c r="C81" s="4" t="s">
        <v>172</v>
      </c>
      <c r="D81" s="12">
        <v>2564.0</v>
      </c>
    </row>
    <row r="82">
      <c r="A82" s="61">
        <v>45838.0</v>
      </c>
      <c r="B82" s="62" t="s">
        <v>173</v>
      </c>
      <c r="C82" s="4" t="s">
        <v>174</v>
      </c>
      <c r="D82" s="12">
        <v>4000.0</v>
      </c>
    </row>
    <row r="83">
      <c r="A83" s="61">
        <v>45846.0</v>
      </c>
      <c r="B83" s="62" t="s">
        <v>175</v>
      </c>
      <c r="C83" s="4" t="s">
        <v>176</v>
      </c>
      <c r="D83" s="12">
        <v>1018.0</v>
      </c>
    </row>
    <row r="84">
      <c r="A84" s="61">
        <v>45849.0</v>
      </c>
      <c r="B84" s="62" t="s">
        <v>177</v>
      </c>
      <c r="C84" s="4" t="s">
        <v>162</v>
      </c>
      <c r="D84" s="12">
        <v>500.0</v>
      </c>
    </row>
    <row r="85">
      <c r="A85" s="61">
        <v>45849.0</v>
      </c>
      <c r="B85" s="62" t="s">
        <v>178</v>
      </c>
      <c r="C85" s="4" t="s">
        <v>162</v>
      </c>
      <c r="D85" s="12">
        <v>1100.0</v>
      </c>
    </row>
    <row r="86">
      <c r="A86" s="61">
        <v>45855.0</v>
      </c>
      <c r="B86" s="62" t="s">
        <v>179</v>
      </c>
      <c r="C86" s="4" t="s">
        <v>180</v>
      </c>
      <c r="D86" s="12">
        <v>6000.0</v>
      </c>
    </row>
    <row r="87">
      <c r="A87" s="61">
        <v>45859.0</v>
      </c>
      <c r="B87" s="62" t="s">
        <v>71</v>
      </c>
      <c r="C87" s="4" t="s">
        <v>134</v>
      </c>
      <c r="D87" s="12">
        <v>54181.08</v>
      </c>
    </row>
    <row r="88">
      <c r="A88" s="67">
        <v>45859.0</v>
      </c>
      <c r="B88" s="62" t="s">
        <v>181</v>
      </c>
      <c r="C88" s="4" t="s">
        <v>162</v>
      </c>
      <c r="D88" s="12">
        <v>1500.0</v>
      </c>
    </row>
    <row r="89">
      <c r="A89" s="61">
        <v>45866.0</v>
      </c>
      <c r="B89" s="62" t="s">
        <v>182</v>
      </c>
      <c r="C89" s="4" t="s">
        <v>162</v>
      </c>
      <c r="D89" s="12">
        <v>1500.0</v>
      </c>
    </row>
    <row r="90">
      <c r="A90" s="61">
        <v>45866.0</v>
      </c>
      <c r="B90" s="62" t="s">
        <v>183</v>
      </c>
      <c r="C90" s="4" t="s">
        <v>129</v>
      </c>
      <c r="D90" s="12">
        <v>2000.0</v>
      </c>
    </row>
    <row r="91">
      <c r="A91" s="61">
        <v>45866.0</v>
      </c>
      <c r="B91" s="62" t="s">
        <v>184</v>
      </c>
      <c r="C91" s="4" t="s">
        <v>129</v>
      </c>
      <c r="D91" s="12">
        <v>3000.0</v>
      </c>
    </row>
    <row r="92">
      <c r="A92" s="61">
        <v>45867.0</v>
      </c>
      <c r="B92" s="62" t="s">
        <v>185</v>
      </c>
      <c r="C92" s="4" t="s">
        <v>174</v>
      </c>
      <c r="D92" s="12">
        <v>1500.0</v>
      </c>
    </row>
    <row r="93">
      <c r="A93" s="61">
        <v>45873.0</v>
      </c>
      <c r="B93" s="62" t="s">
        <v>186</v>
      </c>
      <c r="C93" s="4" t="s">
        <v>162</v>
      </c>
      <c r="D93" s="12">
        <v>750.0</v>
      </c>
    </row>
    <row r="94">
      <c r="A94" s="61">
        <v>45880.0</v>
      </c>
      <c r="B94" s="62" t="s">
        <v>187</v>
      </c>
      <c r="C94" s="4" t="s">
        <v>162</v>
      </c>
      <c r="D94" s="12">
        <v>1500.0</v>
      </c>
    </row>
    <row r="95">
      <c r="A95" s="61">
        <v>45881.0</v>
      </c>
      <c r="B95" s="62" t="s">
        <v>188</v>
      </c>
      <c r="C95" s="4" t="s">
        <v>189</v>
      </c>
      <c r="D95" s="12">
        <v>5000.0</v>
      </c>
    </row>
    <row r="96">
      <c r="A96" s="61">
        <v>45884.0</v>
      </c>
      <c r="B96" s="62" t="s">
        <v>190</v>
      </c>
      <c r="C96" s="4" t="s">
        <v>191</v>
      </c>
      <c r="D96" s="12">
        <v>5000.0</v>
      </c>
    </row>
    <row r="97">
      <c r="A97" s="61">
        <v>45887.0</v>
      </c>
      <c r="B97" s="62" t="s">
        <v>192</v>
      </c>
      <c r="C97" s="4" t="s">
        <v>127</v>
      </c>
      <c r="D97" s="12">
        <v>900.0</v>
      </c>
    </row>
    <row r="98">
      <c r="A98" s="67">
        <v>45888.0</v>
      </c>
      <c r="B98" s="62" t="s">
        <v>193</v>
      </c>
      <c r="C98" s="4" t="s">
        <v>162</v>
      </c>
      <c r="D98" s="12">
        <v>1250.0</v>
      </c>
    </row>
    <row r="99">
      <c r="A99" s="67">
        <v>45889.0</v>
      </c>
      <c r="B99" s="62" t="s">
        <v>71</v>
      </c>
      <c r="C99" s="4" t="s">
        <v>134</v>
      </c>
      <c r="D99" s="12">
        <v>23448.7</v>
      </c>
    </row>
    <row r="100">
      <c r="A100" s="61">
        <v>45898.0</v>
      </c>
      <c r="B100" s="62" t="s">
        <v>194</v>
      </c>
      <c r="C100" s="4" t="s">
        <v>133</v>
      </c>
      <c r="D100" s="12">
        <v>130.63</v>
      </c>
    </row>
    <row r="101">
      <c r="A101" s="67">
        <v>45902.0</v>
      </c>
      <c r="B101" s="62" t="s">
        <v>195</v>
      </c>
      <c r="C101" s="4" t="s">
        <v>196</v>
      </c>
      <c r="D101" s="12">
        <v>1500.0</v>
      </c>
    </row>
    <row r="102">
      <c r="A102" s="61">
        <v>45902.0</v>
      </c>
      <c r="B102" s="62" t="s">
        <v>197</v>
      </c>
      <c r="C102" s="4" t="s">
        <v>198</v>
      </c>
      <c r="D102" s="12">
        <v>17000.0</v>
      </c>
    </row>
    <row r="103">
      <c r="A103" s="61">
        <v>45904.0</v>
      </c>
      <c r="B103" s="62" t="s">
        <v>199</v>
      </c>
      <c r="C103" s="4" t="s">
        <v>200</v>
      </c>
      <c r="D103" s="12">
        <v>150.0</v>
      </c>
    </row>
    <row r="104">
      <c r="A104" s="61">
        <v>45904.0</v>
      </c>
      <c r="B104" s="62" t="s">
        <v>71</v>
      </c>
      <c r="C104" s="4" t="s">
        <v>201</v>
      </c>
      <c r="D104" s="12">
        <v>479.0</v>
      </c>
    </row>
    <row r="105">
      <c r="A105" s="61">
        <v>45908.0</v>
      </c>
      <c r="B105" s="62" t="s">
        <v>71</v>
      </c>
      <c r="C105" s="4" t="s">
        <v>202</v>
      </c>
      <c r="D105" s="12">
        <v>1259.47</v>
      </c>
    </row>
    <row r="106">
      <c r="A106" s="61">
        <v>45908.0</v>
      </c>
      <c r="B106" s="62" t="s">
        <v>203</v>
      </c>
      <c r="C106" s="4" t="s">
        <v>204</v>
      </c>
      <c r="D106" s="12">
        <v>1305.0</v>
      </c>
    </row>
    <row r="107">
      <c r="A107" s="61">
        <v>45921.0</v>
      </c>
      <c r="B107" s="62" t="s">
        <v>71</v>
      </c>
      <c r="C107" s="4" t="s">
        <v>205</v>
      </c>
      <c r="D107" s="12">
        <v>38106.51</v>
      </c>
    </row>
    <row r="108">
      <c r="A108" s="61">
        <v>45922.0</v>
      </c>
      <c r="B108" s="62" t="s">
        <v>206</v>
      </c>
      <c r="C108" s="4" t="s">
        <v>207</v>
      </c>
      <c r="D108" s="12">
        <v>3000.0</v>
      </c>
    </row>
    <row r="109">
      <c r="A109" s="61">
        <v>45925.0</v>
      </c>
      <c r="B109" s="62" t="s">
        <v>208</v>
      </c>
      <c r="C109" s="4" t="s">
        <v>138</v>
      </c>
      <c r="D109" s="12">
        <v>5000.0</v>
      </c>
    </row>
    <row r="110">
      <c r="A110" s="61">
        <v>45929.0</v>
      </c>
      <c r="B110" s="62" t="s">
        <v>209</v>
      </c>
      <c r="C110" s="4" t="s">
        <v>210</v>
      </c>
      <c r="D110" s="12">
        <v>1000.0</v>
      </c>
    </row>
    <row r="111">
      <c r="A111" s="61">
        <v>45930.0</v>
      </c>
      <c r="B111" s="62" t="s">
        <v>211</v>
      </c>
      <c r="C111" s="4" t="s">
        <v>129</v>
      </c>
      <c r="D111" s="12">
        <v>2250.0</v>
      </c>
    </row>
    <row r="112">
      <c r="A112" s="61">
        <v>45932.0</v>
      </c>
      <c r="B112" s="62" t="s">
        <v>212</v>
      </c>
      <c r="C112" s="4" t="s">
        <v>210</v>
      </c>
      <c r="D112" s="12">
        <v>1260.0</v>
      </c>
    </row>
    <row r="113">
      <c r="A113" s="61">
        <v>45933.0</v>
      </c>
      <c r="B113" s="62" t="s">
        <v>213</v>
      </c>
      <c r="C113" s="4" t="s">
        <v>143</v>
      </c>
      <c r="D113" s="12">
        <v>18000.0</v>
      </c>
    </row>
    <row r="114">
      <c r="A114" s="61">
        <v>45936.0</v>
      </c>
      <c r="B114" s="62" t="s">
        <v>214</v>
      </c>
      <c r="C114" s="4" t="s">
        <v>162</v>
      </c>
      <c r="D114" s="12">
        <v>1250.0</v>
      </c>
    </row>
    <row r="115">
      <c r="A115" s="61">
        <v>45937.0</v>
      </c>
      <c r="B115" s="62" t="s">
        <v>215</v>
      </c>
      <c r="C115" s="4" t="s">
        <v>216</v>
      </c>
      <c r="D115" s="12">
        <v>3000.0</v>
      </c>
    </row>
    <row r="116">
      <c r="A116" s="61">
        <v>45951.0</v>
      </c>
      <c r="B116" s="62" t="s">
        <v>71</v>
      </c>
      <c r="C116" s="4" t="s">
        <v>205</v>
      </c>
      <c r="D116" s="12">
        <v>26911.0</v>
      </c>
    </row>
    <row r="117">
      <c r="A117" s="61">
        <v>45957.0</v>
      </c>
      <c r="B117" s="62" t="s">
        <v>217</v>
      </c>
      <c r="C117" s="4" t="s">
        <v>127</v>
      </c>
      <c r="D117" s="12">
        <v>2000.0</v>
      </c>
    </row>
    <row r="118">
      <c r="A118" s="61">
        <v>45958.0</v>
      </c>
      <c r="B118" s="62" t="s">
        <v>218</v>
      </c>
      <c r="C118" s="4" t="s">
        <v>162</v>
      </c>
      <c r="D118" s="12">
        <v>1500.0</v>
      </c>
    </row>
    <row r="119">
      <c r="A119" s="61">
        <v>45964.0</v>
      </c>
      <c r="B119" s="62" t="s">
        <v>219</v>
      </c>
      <c r="C119" s="4" t="s">
        <v>138</v>
      </c>
      <c r="D119" s="12">
        <v>3500.0</v>
      </c>
    </row>
    <row r="120">
      <c r="A120" s="61">
        <v>45965.0</v>
      </c>
      <c r="B120" s="62" t="s">
        <v>220</v>
      </c>
      <c r="C120" s="4" t="s">
        <v>221</v>
      </c>
      <c r="D120" s="12">
        <v>2000.0</v>
      </c>
    </row>
    <row r="121">
      <c r="A121" s="61">
        <v>45966.0</v>
      </c>
      <c r="B121" s="62" t="s">
        <v>222</v>
      </c>
      <c r="C121" s="4" t="s">
        <v>162</v>
      </c>
      <c r="D121" s="12">
        <v>1500.0</v>
      </c>
    </row>
    <row r="122">
      <c r="A122" s="61">
        <v>45978.0</v>
      </c>
      <c r="B122" s="62" t="s">
        <v>223</v>
      </c>
      <c r="C122" s="4" t="s">
        <v>162</v>
      </c>
      <c r="D122" s="12">
        <v>1500.0</v>
      </c>
    </row>
    <row r="123">
      <c r="A123" s="61">
        <v>45981.0</v>
      </c>
      <c r="B123" s="62" t="s">
        <v>71</v>
      </c>
      <c r="C123" s="4" t="s">
        <v>134</v>
      </c>
      <c r="D123" s="12">
        <v>40533.87</v>
      </c>
    </row>
    <row r="124">
      <c r="A124" s="61">
        <v>45985.0</v>
      </c>
      <c r="B124" s="62" t="s">
        <v>224</v>
      </c>
      <c r="C124" s="4" t="s">
        <v>162</v>
      </c>
      <c r="D124" s="12">
        <v>300.0</v>
      </c>
    </row>
    <row r="125">
      <c r="A125" s="61">
        <v>45992.0</v>
      </c>
      <c r="B125" s="62" t="s">
        <v>225</v>
      </c>
      <c r="C125" s="4" t="s">
        <v>226</v>
      </c>
      <c r="D125" s="12">
        <v>3000.0</v>
      </c>
    </row>
    <row r="126">
      <c r="A126" s="61">
        <v>45995.0</v>
      </c>
      <c r="B126" s="62" t="s">
        <v>227</v>
      </c>
      <c r="C126" s="4" t="s">
        <v>152</v>
      </c>
      <c r="D126" s="12">
        <v>10000.0</v>
      </c>
    </row>
    <row r="127">
      <c r="A127" s="61">
        <v>45996.0</v>
      </c>
      <c r="B127" s="62" t="s">
        <v>71</v>
      </c>
      <c r="C127" s="4" t="s">
        <v>228</v>
      </c>
      <c r="D127" s="12">
        <v>3570.75</v>
      </c>
    </row>
    <row r="128">
      <c r="A128" s="61">
        <v>46000.0</v>
      </c>
      <c r="B128" s="62" t="s">
        <v>229</v>
      </c>
      <c r="C128" s="4" t="s">
        <v>162</v>
      </c>
      <c r="D128" s="12">
        <v>500.0</v>
      </c>
    </row>
    <row r="129">
      <c r="A129" s="61">
        <v>46000.0</v>
      </c>
      <c r="B129" s="62" t="s">
        <v>230</v>
      </c>
      <c r="C129" s="4" t="s">
        <v>162</v>
      </c>
      <c r="D129" s="12">
        <v>750.0</v>
      </c>
    </row>
    <row r="130">
      <c r="A130" s="61">
        <v>46010.0</v>
      </c>
      <c r="B130" s="62" t="s">
        <v>71</v>
      </c>
      <c r="C130" s="4" t="s">
        <v>134</v>
      </c>
      <c r="D130" s="12">
        <v>22433.72</v>
      </c>
    </row>
    <row r="131">
      <c r="A131" s="69">
        <v>46006.0</v>
      </c>
      <c r="B131" s="5" t="s">
        <v>231</v>
      </c>
      <c r="C131" s="5" t="s">
        <v>71</v>
      </c>
      <c r="D131" s="8">
        <v>500.0</v>
      </c>
      <c r="E131" s="5" t="s">
        <v>232</v>
      </c>
      <c r="F131" s="9"/>
      <c r="G131" s="9"/>
    </row>
    <row r="132">
      <c r="A132" s="61">
        <v>46010.0</v>
      </c>
      <c r="B132" s="62" t="s">
        <v>233</v>
      </c>
      <c r="C132" s="4" t="s">
        <v>138</v>
      </c>
      <c r="D132" s="12">
        <v>500.0</v>
      </c>
    </row>
    <row r="133">
      <c r="A133" s="61">
        <v>46013.0</v>
      </c>
      <c r="B133" s="62" t="s">
        <v>234</v>
      </c>
      <c r="C133" s="4" t="s">
        <v>162</v>
      </c>
      <c r="D133" s="12">
        <v>250.0</v>
      </c>
    </row>
    <row r="134">
      <c r="A134" s="61">
        <v>46013.0</v>
      </c>
      <c r="B134" s="62" t="s">
        <v>235</v>
      </c>
      <c r="C134" s="4" t="s">
        <v>236</v>
      </c>
      <c r="D134" s="12">
        <v>3000.0</v>
      </c>
    </row>
    <row r="135">
      <c r="A135" s="61">
        <v>46021.0</v>
      </c>
      <c r="B135" s="62" t="s">
        <v>237</v>
      </c>
      <c r="C135" s="4" t="s">
        <v>162</v>
      </c>
      <c r="D135" s="12">
        <v>250.0</v>
      </c>
    </row>
    <row r="136">
      <c r="A136" s="61">
        <v>46021.0</v>
      </c>
      <c r="B136" s="62" t="s">
        <v>238</v>
      </c>
      <c r="C136" s="4" t="s">
        <v>239</v>
      </c>
      <c r="D136" s="12">
        <v>1500.0</v>
      </c>
    </row>
    <row r="137">
      <c r="A137" s="61">
        <v>46024.0</v>
      </c>
      <c r="B137" s="62" t="s">
        <v>240</v>
      </c>
      <c r="C137" s="4" t="s">
        <v>241</v>
      </c>
      <c r="D137" s="12">
        <v>2600.0</v>
      </c>
    </row>
    <row r="138">
      <c r="A138" s="61">
        <v>46043.0</v>
      </c>
      <c r="B138" s="62" t="s">
        <v>71</v>
      </c>
      <c r="C138" s="4" t="s">
        <v>130</v>
      </c>
      <c r="D138" s="12">
        <v>107.15</v>
      </c>
    </row>
    <row r="139">
      <c r="A139" s="61">
        <v>46043.0</v>
      </c>
      <c r="B139" s="62" t="s">
        <v>71</v>
      </c>
      <c r="C139" s="4" t="s">
        <v>134</v>
      </c>
      <c r="D139" s="12">
        <v>3742.16</v>
      </c>
    </row>
    <row r="140">
      <c r="A140" s="61">
        <v>46048.0</v>
      </c>
      <c r="B140" s="62" t="s">
        <v>242</v>
      </c>
      <c r="C140" s="4" t="s">
        <v>162</v>
      </c>
      <c r="D140" s="12">
        <v>500.0</v>
      </c>
    </row>
    <row r="141">
      <c r="A141" s="61">
        <v>46058.0</v>
      </c>
      <c r="B141" s="62" t="s">
        <v>243</v>
      </c>
      <c r="C141" s="4" t="s">
        <v>244</v>
      </c>
      <c r="D141" s="12">
        <v>2962.5</v>
      </c>
    </row>
    <row r="142">
      <c r="A142" s="61">
        <v>46070.0</v>
      </c>
      <c r="B142" s="62" t="s">
        <v>245</v>
      </c>
      <c r="C142" s="4" t="s">
        <v>140</v>
      </c>
      <c r="D142" s="12">
        <v>4500.0</v>
      </c>
    </row>
    <row r="143">
      <c r="A143" s="61">
        <v>46076.0</v>
      </c>
      <c r="B143" s="62" t="s">
        <v>246</v>
      </c>
      <c r="C143" s="4" t="s">
        <v>198</v>
      </c>
      <c r="D143" s="12">
        <v>500.0</v>
      </c>
    </row>
    <row r="144">
      <c r="A144" s="61">
        <v>46085.0</v>
      </c>
      <c r="B144" s="62" t="s">
        <v>71</v>
      </c>
      <c r="C144" s="4" t="s">
        <v>134</v>
      </c>
      <c r="D144" s="12">
        <v>6432.35</v>
      </c>
    </row>
    <row r="145">
      <c r="A145" s="61">
        <v>46102.0</v>
      </c>
      <c r="B145" s="62" t="s">
        <v>71</v>
      </c>
      <c r="C145" s="4" t="s">
        <v>134</v>
      </c>
      <c r="D145" s="12">
        <v>8518.62</v>
      </c>
    </row>
    <row r="146">
      <c r="A146" s="61">
        <v>46129.0</v>
      </c>
      <c r="B146" s="62" t="s">
        <v>247</v>
      </c>
      <c r="C146" s="4" t="s">
        <v>248</v>
      </c>
      <c r="D146" s="12">
        <v>83485.46</v>
      </c>
    </row>
    <row r="147">
      <c r="A147" s="61">
        <v>46195.0</v>
      </c>
      <c r="B147" s="62" t="s">
        <v>71</v>
      </c>
      <c r="C147" s="4" t="s">
        <v>134</v>
      </c>
      <c r="D147" s="12">
        <v>61.56</v>
      </c>
    </row>
    <row r="148">
      <c r="A148" s="61">
        <v>46251.0</v>
      </c>
      <c r="B148" s="62" t="s">
        <v>71</v>
      </c>
      <c r="C148" s="4" t="s">
        <v>134</v>
      </c>
      <c r="D148" s="12">
        <v>70000.0</v>
      </c>
    </row>
    <row r="149">
      <c r="A149" s="70"/>
      <c r="B149" s="70"/>
      <c r="D149" s="2"/>
    </row>
    <row r="150">
      <c r="A150" s="70"/>
      <c r="B150" s="70"/>
      <c r="D150" s="2"/>
    </row>
    <row r="151">
      <c r="A151" s="70"/>
      <c r="B151" s="70"/>
      <c r="D151" s="2"/>
    </row>
    <row r="152">
      <c r="A152" s="70"/>
      <c r="B152" s="70"/>
      <c r="D152" s="2"/>
    </row>
    <row r="153">
      <c r="A153" s="70"/>
      <c r="B153" s="70"/>
      <c r="D153" s="2"/>
    </row>
    <row r="154">
      <c r="A154" s="70"/>
      <c r="B154" s="70"/>
      <c r="D154" s="2"/>
    </row>
    <row r="155">
      <c r="A155" s="70"/>
      <c r="B155" s="70"/>
      <c r="D155" s="2"/>
    </row>
    <row r="156">
      <c r="A156" s="70"/>
      <c r="B156" s="70"/>
      <c r="D156" s="2"/>
    </row>
    <row r="157">
      <c r="A157" s="70"/>
      <c r="B157" s="70"/>
      <c r="D157" s="2"/>
    </row>
    <row r="158">
      <c r="A158" s="70"/>
      <c r="B158" s="70"/>
      <c r="D158" s="2"/>
    </row>
    <row r="159">
      <c r="A159" s="70"/>
      <c r="B159" s="70"/>
      <c r="D159" s="2"/>
    </row>
    <row r="160">
      <c r="A160" s="70"/>
      <c r="B160" s="70"/>
      <c r="D160" s="2"/>
    </row>
    <row r="161">
      <c r="A161" s="70"/>
      <c r="B161" s="70"/>
      <c r="D161" s="2"/>
    </row>
    <row r="162">
      <c r="A162" s="70"/>
      <c r="B162" s="70"/>
      <c r="D162" s="2"/>
    </row>
    <row r="163">
      <c r="A163" s="70"/>
      <c r="B163" s="70"/>
      <c r="D163" s="2"/>
    </row>
    <row r="164">
      <c r="A164" s="70"/>
      <c r="B164" s="70"/>
      <c r="D164" s="2"/>
    </row>
    <row r="165">
      <c r="A165" s="70"/>
      <c r="B165" s="70"/>
      <c r="D165" s="2"/>
    </row>
    <row r="166">
      <c r="A166" s="70"/>
      <c r="B166" s="70"/>
      <c r="D166" s="2"/>
    </row>
    <row r="167">
      <c r="A167" s="70"/>
      <c r="B167" s="70"/>
      <c r="D167" s="2"/>
    </row>
    <row r="168">
      <c r="A168" s="70"/>
      <c r="B168" s="70"/>
      <c r="D168" s="2"/>
    </row>
    <row r="169">
      <c r="A169" s="70"/>
      <c r="B169" s="70"/>
      <c r="D169" s="2"/>
    </row>
    <row r="170">
      <c r="A170" s="70"/>
      <c r="B170" s="70"/>
      <c r="D170" s="2"/>
    </row>
    <row r="171">
      <c r="A171" s="70"/>
      <c r="B171" s="70"/>
      <c r="D171" s="2"/>
    </row>
    <row r="172">
      <c r="A172" s="70"/>
      <c r="B172" s="70"/>
      <c r="D172" s="2"/>
    </row>
    <row r="173">
      <c r="A173" s="70"/>
      <c r="B173" s="70"/>
      <c r="D173" s="2"/>
    </row>
    <row r="174">
      <c r="A174" s="70"/>
      <c r="B174" s="70"/>
      <c r="D174" s="2"/>
    </row>
    <row r="175">
      <c r="A175" s="70"/>
      <c r="B175" s="70"/>
      <c r="D175" s="2"/>
    </row>
    <row r="176">
      <c r="A176" s="70"/>
      <c r="B176" s="70"/>
      <c r="D176" s="2"/>
    </row>
    <row r="177">
      <c r="A177" s="70"/>
      <c r="B177" s="70"/>
      <c r="D177" s="2"/>
    </row>
    <row r="178">
      <c r="A178" s="70"/>
      <c r="B178" s="70"/>
      <c r="D178" s="2"/>
    </row>
    <row r="179">
      <c r="A179" s="70"/>
      <c r="B179" s="70"/>
      <c r="D179" s="2"/>
    </row>
    <row r="180">
      <c r="A180" s="70"/>
      <c r="B180" s="70"/>
      <c r="D180" s="2"/>
    </row>
    <row r="181">
      <c r="A181" s="70"/>
      <c r="B181" s="70"/>
      <c r="D181" s="2"/>
    </row>
    <row r="182">
      <c r="A182" s="70"/>
      <c r="B182" s="70"/>
      <c r="D182" s="2"/>
    </row>
    <row r="183">
      <c r="A183" s="70"/>
      <c r="B183" s="70"/>
      <c r="D183" s="2"/>
    </row>
    <row r="184">
      <c r="A184" s="70"/>
      <c r="B184" s="70"/>
      <c r="D184" s="2"/>
    </row>
    <row r="185">
      <c r="A185" s="70"/>
      <c r="B185" s="70"/>
      <c r="D185" s="2"/>
    </row>
    <row r="186">
      <c r="A186" s="70"/>
      <c r="B186" s="70"/>
      <c r="D186" s="2"/>
    </row>
    <row r="187">
      <c r="A187" s="70"/>
      <c r="B187" s="70"/>
      <c r="D187" s="2"/>
    </row>
    <row r="188">
      <c r="A188" s="70"/>
      <c r="B188" s="70"/>
      <c r="D188" s="2"/>
    </row>
    <row r="189">
      <c r="A189" s="70"/>
      <c r="B189" s="70"/>
      <c r="D189" s="2"/>
    </row>
    <row r="190">
      <c r="A190" s="70"/>
      <c r="B190" s="70"/>
      <c r="D190" s="2"/>
    </row>
    <row r="191">
      <c r="A191" s="70"/>
      <c r="B191" s="70"/>
      <c r="D191" s="2"/>
    </row>
    <row r="192">
      <c r="A192" s="70"/>
      <c r="B192" s="70"/>
      <c r="D192" s="2"/>
    </row>
    <row r="193">
      <c r="A193" s="70"/>
      <c r="B193" s="70"/>
      <c r="D193" s="2"/>
    </row>
    <row r="194">
      <c r="A194" s="70"/>
      <c r="B194" s="70"/>
      <c r="D194" s="2"/>
    </row>
    <row r="195">
      <c r="A195" s="70"/>
      <c r="B195" s="70"/>
      <c r="D195" s="2"/>
    </row>
    <row r="196">
      <c r="A196" s="70"/>
      <c r="B196" s="70"/>
      <c r="D196" s="2"/>
    </row>
    <row r="197">
      <c r="A197" s="70"/>
      <c r="B197" s="70"/>
      <c r="D197" s="2"/>
    </row>
    <row r="198">
      <c r="A198" s="70"/>
      <c r="B198" s="70"/>
      <c r="D198" s="2"/>
    </row>
    <row r="199">
      <c r="A199" s="70"/>
      <c r="B199" s="70"/>
      <c r="D199" s="2"/>
    </row>
    <row r="200">
      <c r="A200" s="70"/>
      <c r="B200" s="70"/>
      <c r="D200" s="2"/>
    </row>
    <row r="201">
      <c r="A201" s="70"/>
      <c r="B201" s="70"/>
      <c r="D201" s="2"/>
    </row>
    <row r="202">
      <c r="A202" s="70"/>
      <c r="B202" s="70"/>
      <c r="D202" s="2"/>
    </row>
    <row r="203">
      <c r="A203" s="70"/>
      <c r="B203" s="70"/>
      <c r="D203" s="2"/>
    </row>
    <row r="204">
      <c r="A204" s="70"/>
      <c r="B204" s="70"/>
      <c r="D204" s="2"/>
    </row>
    <row r="205">
      <c r="A205" s="70"/>
      <c r="B205" s="70"/>
      <c r="D205" s="2"/>
    </row>
    <row r="206">
      <c r="A206" s="70"/>
      <c r="B206" s="70"/>
      <c r="D206" s="2"/>
    </row>
    <row r="207">
      <c r="A207" s="70"/>
      <c r="B207" s="70"/>
      <c r="D207" s="2"/>
    </row>
    <row r="208">
      <c r="A208" s="70"/>
      <c r="B208" s="70"/>
      <c r="D208" s="2"/>
    </row>
    <row r="209">
      <c r="A209" s="70"/>
      <c r="B209" s="70"/>
      <c r="D209" s="2"/>
    </row>
    <row r="210">
      <c r="A210" s="70"/>
      <c r="B210" s="70"/>
      <c r="D210" s="2"/>
    </row>
    <row r="211">
      <c r="A211" s="70"/>
      <c r="B211" s="70"/>
      <c r="D211" s="2"/>
    </row>
    <row r="212">
      <c r="A212" s="70"/>
      <c r="B212" s="70"/>
      <c r="D212" s="2"/>
    </row>
    <row r="213">
      <c r="A213" s="70"/>
      <c r="B213" s="70"/>
      <c r="D213" s="2"/>
    </row>
    <row r="214">
      <c r="A214" s="70"/>
      <c r="B214" s="70"/>
      <c r="D214" s="2"/>
    </row>
    <row r="215">
      <c r="A215" s="70"/>
      <c r="B215" s="70"/>
      <c r="D215" s="2"/>
    </row>
    <row r="216">
      <c r="A216" s="70"/>
      <c r="B216" s="70"/>
      <c r="D216" s="2"/>
    </row>
    <row r="217">
      <c r="A217" s="70"/>
      <c r="B217" s="70"/>
      <c r="D217" s="2"/>
    </row>
    <row r="218">
      <c r="A218" s="70"/>
      <c r="B218" s="70"/>
      <c r="D218" s="2"/>
    </row>
    <row r="219">
      <c r="A219" s="70"/>
      <c r="B219" s="70"/>
      <c r="D219" s="2"/>
    </row>
    <row r="220">
      <c r="A220" s="70"/>
      <c r="B220" s="70"/>
      <c r="D220" s="2"/>
    </row>
    <row r="221">
      <c r="A221" s="70"/>
      <c r="B221" s="70"/>
      <c r="D221" s="2"/>
    </row>
    <row r="222">
      <c r="A222" s="70"/>
      <c r="B222" s="70"/>
      <c r="D222" s="2"/>
    </row>
    <row r="223">
      <c r="A223" s="70"/>
      <c r="B223" s="70"/>
      <c r="D223" s="2"/>
    </row>
    <row r="224">
      <c r="A224" s="70"/>
      <c r="B224" s="70"/>
      <c r="D224" s="2"/>
    </row>
    <row r="225">
      <c r="A225" s="70"/>
      <c r="B225" s="70"/>
      <c r="D225" s="2"/>
    </row>
    <row r="226">
      <c r="A226" s="70"/>
      <c r="B226" s="70"/>
      <c r="D226" s="2"/>
    </row>
    <row r="227">
      <c r="A227" s="70"/>
      <c r="B227" s="70"/>
      <c r="D227" s="2"/>
    </row>
    <row r="228">
      <c r="A228" s="70"/>
      <c r="B228" s="70"/>
      <c r="D228" s="2"/>
    </row>
    <row r="229">
      <c r="A229" s="70"/>
      <c r="B229" s="70"/>
      <c r="D229" s="2"/>
    </row>
    <row r="230">
      <c r="A230" s="70"/>
      <c r="B230" s="70"/>
      <c r="D230" s="2"/>
    </row>
    <row r="231">
      <c r="A231" s="70"/>
      <c r="B231" s="70"/>
      <c r="D231" s="2"/>
    </row>
    <row r="232">
      <c r="A232" s="70"/>
      <c r="B232" s="70"/>
      <c r="D232" s="2"/>
    </row>
    <row r="233">
      <c r="A233" s="70"/>
      <c r="B233" s="70"/>
      <c r="D233" s="2"/>
    </row>
    <row r="234">
      <c r="A234" s="70"/>
      <c r="B234" s="70"/>
      <c r="D234" s="2"/>
    </row>
    <row r="235">
      <c r="A235" s="70"/>
      <c r="B235" s="70"/>
      <c r="D235" s="2"/>
    </row>
    <row r="236">
      <c r="A236" s="70"/>
      <c r="B236" s="70"/>
      <c r="D236" s="2"/>
    </row>
    <row r="237">
      <c r="A237" s="70"/>
      <c r="B237" s="70"/>
      <c r="D237" s="2"/>
    </row>
    <row r="238">
      <c r="A238" s="70"/>
      <c r="B238" s="70"/>
      <c r="D238" s="2"/>
    </row>
    <row r="239">
      <c r="A239" s="70"/>
      <c r="B239" s="70"/>
      <c r="D239" s="2"/>
    </row>
    <row r="240">
      <c r="A240" s="70"/>
      <c r="B240" s="70"/>
      <c r="D240" s="2"/>
    </row>
    <row r="241">
      <c r="A241" s="70"/>
      <c r="B241" s="70"/>
      <c r="D241" s="2"/>
    </row>
    <row r="242">
      <c r="A242" s="70"/>
      <c r="B242" s="70"/>
      <c r="D242" s="2"/>
    </row>
    <row r="243">
      <c r="A243" s="70"/>
      <c r="B243" s="70"/>
      <c r="D243" s="2"/>
    </row>
    <row r="244">
      <c r="A244" s="70"/>
      <c r="B244" s="70"/>
      <c r="D244" s="2"/>
    </row>
    <row r="245">
      <c r="A245" s="70"/>
      <c r="B245" s="70"/>
      <c r="D245" s="2"/>
    </row>
    <row r="246">
      <c r="A246" s="70"/>
      <c r="B246" s="70"/>
      <c r="D246" s="2"/>
    </row>
    <row r="247">
      <c r="A247" s="70"/>
      <c r="B247" s="70"/>
      <c r="D247" s="2"/>
    </row>
    <row r="248">
      <c r="A248" s="70"/>
      <c r="B248" s="70"/>
      <c r="D248" s="2"/>
    </row>
    <row r="249">
      <c r="A249" s="70"/>
      <c r="B249" s="70"/>
      <c r="D249" s="2"/>
    </row>
    <row r="250">
      <c r="A250" s="70"/>
      <c r="B250" s="70"/>
      <c r="D250" s="2"/>
    </row>
    <row r="251">
      <c r="A251" s="70"/>
      <c r="B251" s="70"/>
      <c r="D251" s="2"/>
    </row>
    <row r="252">
      <c r="A252" s="70"/>
      <c r="B252" s="70"/>
      <c r="D252" s="2"/>
    </row>
    <row r="253">
      <c r="A253" s="70"/>
      <c r="B253" s="70"/>
      <c r="D253" s="2"/>
    </row>
    <row r="254">
      <c r="A254" s="70"/>
      <c r="B254" s="70"/>
      <c r="D254" s="2"/>
    </row>
    <row r="255">
      <c r="A255" s="70"/>
      <c r="B255" s="70"/>
      <c r="D255" s="2"/>
    </row>
    <row r="256">
      <c r="A256" s="70"/>
      <c r="B256" s="70"/>
      <c r="D256" s="2"/>
    </row>
    <row r="257">
      <c r="A257" s="70"/>
      <c r="B257" s="70"/>
      <c r="D257" s="2"/>
    </row>
    <row r="258">
      <c r="A258" s="70"/>
      <c r="B258" s="70"/>
      <c r="D258" s="2"/>
    </row>
    <row r="259">
      <c r="A259" s="70"/>
      <c r="B259" s="70"/>
      <c r="D259" s="2"/>
    </row>
    <row r="260">
      <c r="A260" s="70"/>
      <c r="B260" s="70"/>
      <c r="D260" s="2"/>
    </row>
    <row r="261">
      <c r="A261" s="70"/>
      <c r="B261" s="70"/>
      <c r="D261" s="2"/>
    </row>
    <row r="262">
      <c r="A262" s="70"/>
      <c r="B262" s="70"/>
      <c r="D262" s="2"/>
    </row>
    <row r="263">
      <c r="A263" s="70"/>
      <c r="B263" s="70"/>
      <c r="D263" s="2"/>
    </row>
    <row r="264">
      <c r="A264" s="70"/>
      <c r="B264" s="70"/>
      <c r="D264" s="2"/>
    </row>
    <row r="265">
      <c r="A265" s="70"/>
      <c r="B265" s="70"/>
      <c r="D265" s="2"/>
    </row>
    <row r="266">
      <c r="A266" s="70"/>
      <c r="B266" s="70"/>
      <c r="D266" s="2"/>
    </row>
    <row r="267">
      <c r="A267" s="70"/>
      <c r="B267" s="70"/>
      <c r="D267" s="2"/>
    </row>
    <row r="268">
      <c r="A268" s="70"/>
      <c r="B268" s="70"/>
      <c r="D268" s="2"/>
    </row>
    <row r="269">
      <c r="A269" s="70"/>
      <c r="B269" s="70"/>
      <c r="D269" s="2"/>
    </row>
    <row r="270">
      <c r="A270" s="70"/>
      <c r="B270" s="70"/>
      <c r="D270" s="2"/>
    </row>
    <row r="271">
      <c r="A271" s="70"/>
      <c r="B271" s="70"/>
      <c r="D271" s="2"/>
    </row>
    <row r="272">
      <c r="A272" s="70"/>
      <c r="B272" s="70"/>
      <c r="D272" s="2"/>
    </row>
    <row r="273">
      <c r="A273" s="70"/>
      <c r="B273" s="70"/>
      <c r="D273" s="2"/>
    </row>
    <row r="274">
      <c r="A274" s="70"/>
      <c r="B274" s="70"/>
      <c r="D274" s="2"/>
    </row>
    <row r="275">
      <c r="A275" s="70"/>
      <c r="B275" s="70"/>
      <c r="D275" s="2"/>
    </row>
    <row r="276">
      <c r="A276" s="70"/>
      <c r="B276" s="70"/>
      <c r="D276" s="2"/>
    </row>
    <row r="277">
      <c r="A277" s="70"/>
      <c r="B277" s="70"/>
      <c r="D277" s="2"/>
    </row>
    <row r="278">
      <c r="A278" s="70"/>
      <c r="B278" s="70"/>
      <c r="D278" s="2"/>
    </row>
    <row r="279">
      <c r="A279" s="70"/>
      <c r="B279" s="70"/>
      <c r="D279" s="2"/>
    </row>
    <row r="280">
      <c r="A280" s="70"/>
      <c r="B280" s="70"/>
      <c r="D280" s="2"/>
    </row>
    <row r="281">
      <c r="A281" s="70"/>
      <c r="B281" s="70"/>
      <c r="D281" s="2"/>
    </row>
    <row r="282">
      <c r="A282" s="70"/>
      <c r="B282" s="70"/>
      <c r="D282" s="2"/>
    </row>
    <row r="283">
      <c r="A283" s="70"/>
      <c r="B283" s="70"/>
      <c r="D283" s="2"/>
    </row>
    <row r="284">
      <c r="A284" s="70"/>
      <c r="B284" s="70"/>
      <c r="D284" s="2"/>
    </row>
    <row r="285">
      <c r="A285" s="70"/>
      <c r="B285" s="70"/>
      <c r="D285" s="2"/>
    </row>
    <row r="286">
      <c r="A286" s="70"/>
      <c r="B286" s="70"/>
      <c r="D286" s="2"/>
    </row>
    <row r="287">
      <c r="A287" s="70"/>
      <c r="B287" s="70"/>
      <c r="D287" s="2"/>
    </row>
    <row r="288">
      <c r="A288" s="70"/>
      <c r="B288" s="70"/>
      <c r="D288" s="2"/>
    </row>
    <row r="289">
      <c r="A289" s="70"/>
      <c r="B289" s="70"/>
      <c r="D289" s="2"/>
    </row>
    <row r="290">
      <c r="A290" s="70"/>
      <c r="B290" s="70"/>
      <c r="D290" s="2"/>
    </row>
    <row r="291">
      <c r="A291" s="70"/>
      <c r="B291" s="70"/>
      <c r="D291" s="2"/>
    </row>
    <row r="292">
      <c r="A292" s="70"/>
      <c r="B292" s="70"/>
      <c r="D292" s="2"/>
    </row>
    <row r="293">
      <c r="A293" s="70"/>
      <c r="B293" s="70"/>
      <c r="D293" s="2"/>
    </row>
    <row r="294">
      <c r="A294" s="70"/>
      <c r="B294" s="70"/>
      <c r="D294" s="2"/>
    </row>
    <row r="295">
      <c r="A295" s="70"/>
      <c r="B295" s="70"/>
      <c r="D295" s="2"/>
    </row>
    <row r="296">
      <c r="A296" s="70"/>
      <c r="B296" s="70"/>
      <c r="D296" s="2"/>
    </row>
    <row r="297">
      <c r="A297" s="70"/>
      <c r="B297" s="70"/>
      <c r="D297" s="2"/>
    </row>
    <row r="298">
      <c r="A298" s="70"/>
      <c r="B298" s="70"/>
      <c r="D298" s="2"/>
    </row>
    <row r="299">
      <c r="A299" s="70"/>
      <c r="B299" s="70"/>
      <c r="D299" s="2"/>
    </row>
    <row r="300">
      <c r="A300" s="70"/>
      <c r="B300" s="70"/>
      <c r="D300" s="2"/>
    </row>
    <row r="301">
      <c r="A301" s="70"/>
      <c r="B301" s="70"/>
      <c r="D301" s="2"/>
    </row>
    <row r="302">
      <c r="A302" s="70"/>
      <c r="B302" s="70"/>
      <c r="D302" s="2"/>
    </row>
    <row r="303">
      <c r="A303" s="70"/>
      <c r="B303" s="70"/>
      <c r="D303" s="2"/>
    </row>
    <row r="304">
      <c r="A304" s="70"/>
      <c r="B304" s="70"/>
      <c r="D304" s="2"/>
    </row>
    <row r="305">
      <c r="A305" s="70"/>
      <c r="B305" s="70"/>
      <c r="D305" s="2"/>
    </row>
    <row r="306">
      <c r="A306" s="70"/>
      <c r="B306" s="70"/>
      <c r="D306" s="2"/>
    </row>
    <row r="307">
      <c r="A307" s="70"/>
      <c r="B307" s="70"/>
      <c r="D307" s="2"/>
    </row>
    <row r="308">
      <c r="A308" s="70"/>
      <c r="B308" s="70"/>
      <c r="D308" s="2"/>
    </row>
    <row r="309">
      <c r="A309" s="70"/>
      <c r="B309" s="70"/>
      <c r="D309" s="2"/>
    </row>
    <row r="310">
      <c r="A310" s="70"/>
      <c r="B310" s="70"/>
      <c r="D310" s="2"/>
    </row>
    <row r="311">
      <c r="A311" s="70"/>
      <c r="B311" s="70"/>
      <c r="D311" s="2"/>
    </row>
    <row r="312">
      <c r="A312" s="70"/>
      <c r="B312" s="70"/>
      <c r="D312" s="2"/>
    </row>
    <row r="313">
      <c r="A313" s="70"/>
      <c r="B313" s="70"/>
      <c r="D313" s="2"/>
    </row>
    <row r="314">
      <c r="A314" s="70"/>
      <c r="B314" s="70"/>
      <c r="D314" s="2"/>
    </row>
    <row r="315">
      <c r="A315" s="70"/>
      <c r="B315" s="70"/>
      <c r="D315" s="2"/>
    </row>
    <row r="316">
      <c r="A316" s="70"/>
      <c r="B316" s="70"/>
      <c r="D316" s="2"/>
    </row>
    <row r="317">
      <c r="A317" s="70"/>
      <c r="B317" s="70"/>
      <c r="D317" s="2"/>
    </row>
    <row r="318">
      <c r="A318" s="70"/>
      <c r="B318" s="70"/>
      <c r="D318" s="2"/>
    </row>
    <row r="319">
      <c r="A319" s="70"/>
      <c r="B319" s="70"/>
      <c r="D319" s="2"/>
    </row>
    <row r="320">
      <c r="A320" s="70"/>
      <c r="B320" s="70"/>
      <c r="D320" s="2"/>
    </row>
    <row r="321">
      <c r="A321" s="70"/>
      <c r="B321" s="70"/>
      <c r="D321" s="2"/>
    </row>
    <row r="322">
      <c r="A322" s="70"/>
      <c r="B322" s="70"/>
      <c r="D322" s="2"/>
    </row>
    <row r="323">
      <c r="A323" s="70"/>
      <c r="B323" s="70"/>
      <c r="D323" s="2"/>
    </row>
    <row r="324">
      <c r="A324" s="70"/>
      <c r="B324" s="70"/>
      <c r="D324" s="2"/>
    </row>
    <row r="325">
      <c r="A325" s="70"/>
      <c r="B325" s="70"/>
      <c r="D325" s="2"/>
    </row>
    <row r="326">
      <c r="A326" s="70"/>
      <c r="B326" s="70"/>
      <c r="D326" s="2"/>
    </row>
    <row r="327">
      <c r="A327" s="70"/>
      <c r="B327" s="70"/>
      <c r="D327" s="2"/>
    </row>
    <row r="328">
      <c r="A328" s="70"/>
      <c r="B328" s="70"/>
      <c r="D328" s="2"/>
    </row>
    <row r="329">
      <c r="A329" s="70"/>
      <c r="B329" s="70"/>
      <c r="D329" s="2"/>
    </row>
    <row r="330">
      <c r="A330" s="70"/>
      <c r="B330" s="70"/>
      <c r="D330" s="2"/>
    </row>
    <row r="331">
      <c r="A331" s="70"/>
      <c r="B331" s="70"/>
      <c r="D331" s="2"/>
    </row>
    <row r="332">
      <c r="A332" s="70"/>
      <c r="B332" s="70"/>
      <c r="D332" s="2"/>
    </row>
    <row r="333">
      <c r="A333" s="70"/>
      <c r="B333" s="70"/>
      <c r="D333" s="2"/>
    </row>
    <row r="334">
      <c r="A334" s="70"/>
      <c r="B334" s="70"/>
      <c r="D334" s="2"/>
    </row>
    <row r="335">
      <c r="A335" s="70"/>
      <c r="B335" s="70"/>
      <c r="D335" s="2"/>
    </row>
    <row r="336">
      <c r="A336" s="70"/>
      <c r="B336" s="70"/>
      <c r="D336" s="2"/>
    </row>
    <row r="337">
      <c r="A337" s="70"/>
      <c r="B337" s="70"/>
      <c r="D337" s="2"/>
    </row>
    <row r="338">
      <c r="A338" s="70"/>
      <c r="B338" s="70"/>
      <c r="D338" s="2"/>
    </row>
    <row r="339">
      <c r="A339" s="70"/>
      <c r="B339" s="70"/>
      <c r="D339" s="2"/>
    </row>
    <row r="340">
      <c r="A340" s="70"/>
      <c r="B340" s="70"/>
      <c r="D340" s="2"/>
    </row>
    <row r="341">
      <c r="A341" s="70"/>
      <c r="B341" s="70"/>
      <c r="D341" s="2"/>
    </row>
    <row r="342">
      <c r="A342" s="70"/>
      <c r="B342" s="70"/>
      <c r="D342" s="2"/>
    </row>
    <row r="343">
      <c r="A343" s="70"/>
      <c r="B343" s="70"/>
      <c r="D343" s="2"/>
    </row>
    <row r="344">
      <c r="A344" s="70"/>
      <c r="B344" s="70"/>
      <c r="D344" s="2"/>
    </row>
    <row r="345">
      <c r="A345" s="70"/>
      <c r="B345" s="70"/>
      <c r="D345" s="2"/>
    </row>
    <row r="346">
      <c r="A346" s="70"/>
      <c r="B346" s="70"/>
      <c r="D346" s="2"/>
    </row>
    <row r="347">
      <c r="A347" s="70"/>
      <c r="B347" s="70"/>
      <c r="D347" s="2"/>
    </row>
    <row r="348">
      <c r="A348" s="70"/>
      <c r="B348" s="70"/>
      <c r="D348" s="2"/>
    </row>
    <row r="349">
      <c r="A349" s="70"/>
      <c r="B349" s="70"/>
      <c r="D349" s="2"/>
    </row>
    <row r="350">
      <c r="A350" s="70"/>
      <c r="B350" s="70"/>
      <c r="D350" s="2"/>
    </row>
    <row r="351">
      <c r="A351" s="70"/>
      <c r="B351" s="70"/>
      <c r="D351" s="2"/>
    </row>
    <row r="352">
      <c r="A352" s="70"/>
      <c r="B352" s="70"/>
      <c r="D352" s="2"/>
    </row>
    <row r="353">
      <c r="A353" s="70"/>
      <c r="B353" s="70"/>
      <c r="D353" s="2"/>
    </row>
    <row r="354">
      <c r="A354" s="70"/>
      <c r="B354" s="70"/>
      <c r="D354" s="2"/>
    </row>
    <row r="355">
      <c r="A355" s="70"/>
      <c r="B355" s="70"/>
      <c r="D355" s="2"/>
    </row>
    <row r="356">
      <c r="A356" s="70"/>
      <c r="B356" s="70"/>
      <c r="D356" s="2"/>
    </row>
    <row r="357">
      <c r="A357" s="70"/>
      <c r="B357" s="70"/>
      <c r="D357" s="2"/>
    </row>
    <row r="358">
      <c r="A358" s="70"/>
      <c r="B358" s="70"/>
      <c r="D358" s="2"/>
    </row>
    <row r="359">
      <c r="A359" s="70"/>
      <c r="B359" s="70"/>
      <c r="D359" s="2"/>
    </row>
    <row r="360">
      <c r="A360" s="70"/>
      <c r="B360" s="70"/>
      <c r="D360" s="2"/>
    </row>
    <row r="361">
      <c r="A361" s="70"/>
      <c r="B361" s="70"/>
      <c r="D361" s="2"/>
    </row>
    <row r="362">
      <c r="A362" s="70"/>
      <c r="B362" s="70"/>
      <c r="D362" s="2"/>
    </row>
    <row r="363">
      <c r="A363" s="70"/>
      <c r="B363" s="70"/>
      <c r="D363" s="2"/>
    </row>
    <row r="364">
      <c r="A364" s="70"/>
      <c r="B364" s="70"/>
      <c r="D364" s="2"/>
    </row>
    <row r="365">
      <c r="A365" s="70"/>
      <c r="B365" s="70"/>
      <c r="D365" s="2"/>
    </row>
    <row r="366">
      <c r="A366" s="70"/>
      <c r="B366" s="70"/>
      <c r="D366" s="2"/>
    </row>
    <row r="367">
      <c r="A367" s="70"/>
      <c r="B367" s="70"/>
      <c r="D367" s="2"/>
    </row>
    <row r="368">
      <c r="A368" s="70"/>
      <c r="B368" s="70"/>
      <c r="D368" s="2"/>
    </row>
    <row r="369">
      <c r="A369" s="70"/>
      <c r="B369" s="70"/>
      <c r="D369" s="2"/>
    </row>
    <row r="370">
      <c r="A370" s="70"/>
      <c r="B370" s="70"/>
      <c r="D370" s="2"/>
    </row>
    <row r="371">
      <c r="A371" s="70"/>
      <c r="B371" s="70"/>
      <c r="D371" s="2"/>
    </row>
    <row r="372">
      <c r="A372" s="70"/>
      <c r="B372" s="70"/>
      <c r="D372" s="2"/>
    </row>
    <row r="373">
      <c r="A373" s="70"/>
      <c r="B373" s="70"/>
      <c r="D373" s="2"/>
    </row>
    <row r="374">
      <c r="A374" s="70"/>
      <c r="B374" s="70"/>
      <c r="D374" s="2"/>
    </row>
    <row r="375">
      <c r="A375" s="70"/>
      <c r="B375" s="70"/>
      <c r="D375" s="2"/>
    </row>
    <row r="376">
      <c r="A376" s="70"/>
      <c r="B376" s="70"/>
      <c r="D376" s="2"/>
    </row>
    <row r="377">
      <c r="A377" s="70"/>
      <c r="B377" s="70"/>
      <c r="D377" s="2"/>
    </row>
    <row r="378">
      <c r="A378" s="70"/>
      <c r="B378" s="70"/>
      <c r="D378" s="2"/>
    </row>
    <row r="379">
      <c r="A379" s="70"/>
      <c r="B379" s="70"/>
      <c r="D379" s="2"/>
    </row>
    <row r="380">
      <c r="A380" s="70"/>
      <c r="B380" s="70"/>
      <c r="D380" s="2"/>
    </row>
    <row r="381">
      <c r="A381" s="70"/>
      <c r="B381" s="70"/>
      <c r="D381" s="2"/>
    </row>
    <row r="382">
      <c r="A382" s="70"/>
      <c r="B382" s="70"/>
      <c r="D382" s="2"/>
    </row>
    <row r="383">
      <c r="A383" s="70"/>
      <c r="B383" s="70"/>
      <c r="D383" s="2"/>
    </row>
    <row r="384">
      <c r="A384" s="70"/>
      <c r="B384" s="70"/>
      <c r="D384" s="2"/>
    </row>
    <row r="385">
      <c r="A385" s="70"/>
      <c r="B385" s="70"/>
      <c r="D385" s="2"/>
    </row>
    <row r="386">
      <c r="A386" s="70"/>
      <c r="B386" s="70"/>
      <c r="D386" s="2"/>
    </row>
    <row r="387">
      <c r="A387" s="70"/>
      <c r="B387" s="70"/>
      <c r="D387" s="2"/>
    </row>
    <row r="388">
      <c r="A388" s="70"/>
      <c r="B388" s="70"/>
      <c r="D388" s="2"/>
    </row>
    <row r="389">
      <c r="A389" s="70"/>
      <c r="B389" s="70"/>
      <c r="D389" s="2"/>
    </row>
    <row r="390">
      <c r="A390" s="70"/>
      <c r="B390" s="70"/>
      <c r="D390" s="2"/>
    </row>
    <row r="391">
      <c r="A391" s="70"/>
      <c r="B391" s="70"/>
      <c r="D391" s="2"/>
    </row>
    <row r="392">
      <c r="A392" s="70"/>
      <c r="B392" s="70"/>
      <c r="D392" s="2"/>
    </row>
    <row r="393">
      <c r="A393" s="70"/>
      <c r="B393" s="70"/>
      <c r="D393" s="2"/>
    </row>
    <row r="394">
      <c r="A394" s="70"/>
      <c r="B394" s="70"/>
      <c r="D394" s="2"/>
    </row>
    <row r="395">
      <c r="A395" s="70"/>
      <c r="B395" s="70"/>
      <c r="D395" s="2"/>
    </row>
    <row r="396">
      <c r="A396" s="70"/>
      <c r="B396" s="70"/>
      <c r="D396" s="2"/>
    </row>
    <row r="397">
      <c r="A397" s="70"/>
      <c r="B397" s="70"/>
      <c r="D397" s="2"/>
    </row>
    <row r="398">
      <c r="A398" s="70"/>
      <c r="B398" s="70"/>
      <c r="D398" s="2"/>
    </row>
    <row r="399">
      <c r="A399" s="70"/>
      <c r="B399" s="70"/>
      <c r="D399" s="2"/>
    </row>
    <row r="400">
      <c r="A400" s="70"/>
      <c r="B400" s="70"/>
      <c r="D400" s="2"/>
    </row>
    <row r="401">
      <c r="A401" s="70"/>
      <c r="B401" s="70"/>
      <c r="D401" s="2"/>
    </row>
    <row r="402">
      <c r="A402" s="70"/>
      <c r="B402" s="70"/>
      <c r="D402" s="2"/>
    </row>
    <row r="403">
      <c r="A403" s="70"/>
      <c r="B403" s="70"/>
      <c r="D403" s="2"/>
    </row>
    <row r="404">
      <c r="A404" s="70"/>
      <c r="B404" s="70"/>
      <c r="D404" s="2"/>
    </row>
    <row r="405">
      <c r="A405" s="70"/>
      <c r="B405" s="70"/>
      <c r="D405" s="2"/>
    </row>
    <row r="406">
      <c r="A406" s="70"/>
      <c r="B406" s="70"/>
      <c r="D406" s="2"/>
    </row>
    <row r="407">
      <c r="A407" s="70"/>
      <c r="B407" s="70"/>
      <c r="D407" s="2"/>
    </row>
    <row r="408">
      <c r="A408" s="70"/>
      <c r="B408" s="70"/>
      <c r="D408" s="2"/>
    </row>
    <row r="409">
      <c r="A409" s="70"/>
      <c r="B409" s="70"/>
      <c r="D409" s="2"/>
    </row>
    <row r="410">
      <c r="A410" s="70"/>
      <c r="B410" s="70"/>
      <c r="D410" s="2"/>
    </row>
    <row r="411">
      <c r="A411" s="70"/>
      <c r="B411" s="70"/>
      <c r="D411" s="2"/>
    </row>
    <row r="412">
      <c r="A412" s="70"/>
      <c r="B412" s="70"/>
      <c r="D412" s="2"/>
    </row>
    <row r="413">
      <c r="A413" s="70"/>
      <c r="B413" s="70"/>
      <c r="D413" s="2"/>
    </row>
    <row r="414">
      <c r="A414" s="70"/>
      <c r="B414" s="70"/>
      <c r="D414" s="2"/>
    </row>
    <row r="415">
      <c r="A415" s="70"/>
      <c r="B415" s="70"/>
      <c r="D415" s="2"/>
    </row>
    <row r="416">
      <c r="A416" s="70"/>
      <c r="B416" s="70"/>
      <c r="D416" s="2"/>
    </row>
    <row r="417">
      <c r="A417" s="70"/>
      <c r="B417" s="70"/>
      <c r="D417" s="2"/>
    </row>
    <row r="418">
      <c r="A418" s="70"/>
      <c r="B418" s="70"/>
      <c r="D418" s="2"/>
    </row>
    <row r="419">
      <c r="A419" s="70"/>
      <c r="B419" s="70"/>
      <c r="D419" s="2"/>
    </row>
    <row r="420">
      <c r="A420" s="70"/>
      <c r="B420" s="70"/>
      <c r="D420" s="2"/>
    </row>
    <row r="421">
      <c r="A421" s="70"/>
      <c r="B421" s="70"/>
      <c r="D421" s="2"/>
    </row>
    <row r="422">
      <c r="A422" s="70"/>
      <c r="B422" s="70"/>
      <c r="D422" s="2"/>
    </row>
    <row r="423">
      <c r="A423" s="70"/>
      <c r="B423" s="70"/>
      <c r="D423" s="2"/>
    </row>
    <row r="424">
      <c r="A424" s="70"/>
      <c r="B424" s="70"/>
      <c r="D424" s="2"/>
    </row>
    <row r="425">
      <c r="A425" s="70"/>
      <c r="B425" s="70"/>
      <c r="D425" s="2"/>
    </row>
    <row r="426">
      <c r="A426" s="70"/>
      <c r="B426" s="70"/>
      <c r="D426" s="2"/>
    </row>
    <row r="427">
      <c r="A427" s="70"/>
      <c r="B427" s="70"/>
      <c r="D427" s="2"/>
    </row>
    <row r="428">
      <c r="A428" s="70"/>
      <c r="B428" s="70"/>
      <c r="D428" s="2"/>
    </row>
    <row r="429">
      <c r="A429" s="70"/>
      <c r="B429" s="70"/>
      <c r="D429" s="2"/>
    </row>
    <row r="430">
      <c r="A430" s="70"/>
      <c r="B430" s="70"/>
      <c r="D430" s="2"/>
    </row>
    <row r="431">
      <c r="A431" s="70"/>
      <c r="B431" s="70"/>
      <c r="D431" s="2"/>
    </row>
    <row r="432">
      <c r="A432" s="70"/>
      <c r="B432" s="70"/>
      <c r="D432" s="2"/>
    </row>
    <row r="433">
      <c r="A433" s="70"/>
      <c r="B433" s="70"/>
      <c r="D433" s="2"/>
    </row>
    <row r="434">
      <c r="A434" s="70"/>
      <c r="B434" s="70"/>
      <c r="D434" s="2"/>
    </row>
    <row r="435">
      <c r="A435" s="70"/>
      <c r="B435" s="70"/>
      <c r="D435" s="2"/>
    </row>
    <row r="436">
      <c r="A436" s="70"/>
      <c r="B436" s="70"/>
      <c r="D436" s="2"/>
    </row>
    <row r="437">
      <c r="A437" s="70"/>
      <c r="B437" s="70"/>
      <c r="D437" s="2"/>
    </row>
    <row r="438">
      <c r="A438" s="70"/>
      <c r="B438" s="70"/>
      <c r="D438" s="2"/>
    </row>
    <row r="439">
      <c r="A439" s="70"/>
      <c r="B439" s="70"/>
      <c r="D439" s="2"/>
    </row>
    <row r="440">
      <c r="A440" s="70"/>
      <c r="B440" s="70"/>
      <c r="D440" s="2"/>
    </row>
    <row r="441">
      <c r="A441" s="70"/>
      <c r="B441" s="70"/>
      <c r="D441" s="2"/>
    </row>
    <row r="442">
      <c r="A442" s="70"/>
      <c r="B442" s="70"/>
      <c r="D442" s="2"/>
    </row>
    <row r="443">
      <c r="A443" s="70"/>
      <c r="B443" s="70"/>
      <c r="D443" s="2"/>
    </row>
    <row r="444">
      <c r="A444" s="70"/>
      <c r="B444" s="70"/>
      <c r="D444" s="2"/>
    </row>
    <row r="445">
      <c r="A445" s="70"/>
      <c r="B445" s="70"/>
      <c r="D445" s="2"/>
    </row>
    <row r="446">
      <c r="A446" s="70"/>
      <c r="B446" s="70"/>
      <c r="D446" s="2"/>
    </row>
    <row r="447">
      <c r="A447" s="70"/>
      <c r="B447" s="70"/>
      <c r="D447" s="2"/>
    </row>
    <row r="448">
      <c r="A448" s="70"/>
      <c r="B448" s="70"/>
      <c r="D448" s="2"/>
    </row>
    <row r="449">
      <c r="A449" s="70"/>
      <c r="B449" s="70"/>
      <c r="D449" s="2"/>
    </row>
    <row r="450">
      <c r="A450" s="70"/>
      <c r="B450" s="70"/>
      <c r="D450" s="2"/>
    </row>
    <row r="451">
      <c r="A451" s="70"/>
      <c r="B451" s="70"/>
      <c r="D451" s="2"/>
    </row>
    <row r="452">
      <c r="A452" s="70"/>
      <c r="B452" s="70"/>
      <c r="D452" s="2"/>
    </row>
    <row r="453">
      <c r="A453" s="70"/>
      <c r="B453" s="70"/>
      <c r="D453" s="2"/>
    </row>
    <row r="454">
      <c r="A454" s="70"/>
      <c r="B454" s="70"/>
      <c r="D454" s="2"/>
    </row>
    <row r="455">
      <c r="A455" s="70"/>
      <c r="B455" s="70"/>
      <c r="D455" s="2"/>
    </row>
    <row r="456">
      <c r="A456" s="70"/>
      <c r="B456" s="70"/>
      <c r="D456" s="2"/>
    </row>
    <row r="457">
      <c r="A457" s="70"/>
      <c r="B457" s="70"/>
      <c r="D457" s="2"/>
    </row>
    <row r="458">
      <c r="A458" s="70"/>
      <c r="B458" s="70"/>
      <c r="D458" s="2"/>
    </row>
    <row r="459">
      <c r="A459" s="70"/>
      <c r="B459" s="70"/>
      <c r="D459" s="2"/>
    </row>
    <row r="460">
      <c r="A460" s="70"/>
      <c r="B460" s="70"/>
      <c r="D460" s="2"/>
    </row>
    <row r="461">
      <c r="A461" s="70"/>
      <c r="B461" s="70"/>
      <c r="D461" s="2"/>
    </row>
    <row r="462">
      <c r="A462" s="70"/>
      <c r="B462" s="70"/>
      <c r="D462" s="2"/>
    </row>
    <row r="463">
      <c r="A463" s="70"/>
      <c r="B463" s="70"/>
      <c r="D463" s="2"/>
    </row>
    <row r="464">
      <c r="A464" s="70"/>
      <c r="B464" s="70"/>
      <c r="D464" s="2"/>
    </row>
    <row r="465">
      <c r="A465" s="70"/>
      <c r="B465" s="70"/>
      <c r="D465" s="2"/>
    </row>
    <row r="466">
      <c r="A466" s="70"/>
      <c r="B466" s="70"/>
      <c r="D466" s="2"/>
    </row>
    <row r="467">
      <c r="A467" s="70"/>
      <c r="B467" s="70"/>
      <c r="D467" s="2"/>
    </row>
    <row r="468">
      <c r="A468" s="70"/>
      <c r="B468" s="70"/>
      <c r="D468" s="2"/>
    </row>
    <row r="469">
      <c r="A469" s="70"/>
      <c r="B469" s="70"/>
      <c r="D469" s="2"/>
    </row>
    <row r="470">
      <c r="A470" s="70"/>
      <c r="B470" s="70"/>
      <c r="D470" s="2"/>
    </row>
    <row r="471">
      <c r="A471" s="70"/>
      <c r="B471" s="70"/>
      <c r="D471" s="2"/>
    </row>
    <row r="472">
      <c r="A472" s="70"/>
      <c r="B472" s="70"/>
      <c r="D472" s="2"/>
    </row>
    <row r="473">
      <c r="A473" s="70"/>
      <c r="B473" s="70"/>
      <c r="D473" s="2"/>
    </row>
    <row r="474">
      <c r="A474" s="70"/>
      <c r="B474" s="70"/>
      <c r="D474" s="2"/>
    </row>
    <row r="475">
      <c r="A475" s="70"/>
      <c r="B475" s="70"/>
      <c r="D475" s="2"/>
    </row>
    <row r="476">
      <c r="A476" s="70"/>
      <c r="B476" s="70"/>
      <c r="D476" s="2"/>
    </row>
    <row r="477">
      <c r="A477" s="70"/>
      <c r="B477" s="70"/>
      <c r="D477" s="2"/>
    </row>
    <row r="478">
      <c r="A478" s="70"/>
      <c r="B478" s="70"/>
      <c r="D478" s="2"/>
    </row>
    <row r="479">
      <c r="A479" s="70"/>
      <c r="B479" s="70"/>
      <c r="D479" s="2"/>
    </row>
    <row r="480">
      <c r="A480" s="70"/>
      <c r="B480" s="70"/>
      <c r="D480" s="2"/>
    </row>
    <row r="481">
      <c r="A481" s="70"/>
      <c r="B481" s="70"/>
      <c r="D481" s="2"/>
    </row>
    <row r="482">
      <c r="A482" s="70"/>
      <c r="B482" s="70"/>
      <c r="D482" s="2"/>
    </row>
    <row r="483">
      <c r="A483" s="70"/>
      <c r="B483" s="70"/>
      <c r="D483" s="2"/>
    </row>
    <row r="484">
      <c r="A484" s="70"/>
      <c r="B484" s="70"/>
      <c r="D484" s="2"/>
    </row>
    <row r="485">
      <c r="A485" s="70"/>
      <c r="B485" s="70"/>
      <c r="D485" s="2"/>
    </row>
    <row r="486">
      <c r="A486" s="70"/>
      <c r="B486" s="70"/>
      <c r="D486" s="2"/>
    </row>
    <row r="487">
      <c r="A487" s="70"/>
      <c r="B487" s="70"/>
      <c r="D487" s="2"/>
    </row>
    <row r="488">
      <c r="A488" s="70"/>
      <c r="B488" s="70"/>
      <c r="D488" s="2"/>
    </row>
    <row r="489">
      <c r="A489" s="70"/>
      <c r="B489" s="70"/>
      <c r="D489" s="2"/>
    </row>
    <row r="490">
      <c r="A490" s="70"/>
      <c r="B490" s="70"/>
      <c r="D490" s="2"/>
    </row>
    <row r="491">
      <c r="A491" s="70"/>
      <c r="B491" s="70"/>
      <c r="D491" s="2"/>
    </row>
    <row r="492">
      <c r="A492" s="70"/>
      <c r="B492" s="70"/>
      <c r="D492" s="2"/>
    </row>
    <row r="493">
      <c r="A493" s="70"/>
      <c r="B493" s="70"/>
      <c r="D493" s="2"/>
    </row>
    <row r="494">
      <c r="A494" s="70"/>
      <c r="B494" s="70"/>
      <c r="D494" s="2"/>
    </row>
    <row r="495">
      <c r="A495" s="70"/>
      <c r="B495" s="70"/>
      <c r="D495" s="2"/>
    </row>
    <row r="496">
      <c r="A496" s="70"/>
      <c r="B496" s="70"/>
      <c r="D496" s="2"/>
    </row>
    <row r="497">
      <c r="A497" s="70"/>
      <c r="B497" s="70"/>
      <c r="D497" s="2"/>
    </row>
    <row r="498">
      <c r="A498" s="70"/>
      <c r="B498" s="70"/>
      <c r="D498" s="2"/>
    </row>
    <row r="499">
      <c r="A499" s="70"/>
      <c r="B499" s="70"/>
      <c r="D499" s="2"/>
    </row>
    <row r="500">
      <c r="A500" s="70"/>
      <c r="B500" s="70"/>
      <c r="D500" s="2"/>
    </row>
    <row r="501">
      <c r="A501" s="70"/>
      <c r="B501" s="70"/>
      <c r="D501" s="2"/>
    </row>
    <row r="502">
      <c r="A502" s="70"/>
      <c r="B502" s="70"/>
      <c r="D502" s="2"/>
    </row>
    <row r="503">
      <c r="A503" s="70"/>
      <c r="B503" s="70"/>
      <c r="D503" s="2"/>
    </row>
    <row r="504">
      <c r="A504" s="70"/>
      <c r="B504" s="70"/>
      <c r="D504" s="2"/>
    </row>
    <row r="505">
      <c r="A505" s="70"/>
      <c r="B505" s="70"/>
      <c r="D505" s="2"/>
    </row>
    <row r="506">
      <c r="A506" s="70"/>
      <c r="B506" s="70"/>
      <c r="D506" s="2"/>
    </row>
    <row r="507">
      <c r="A507" s="70"/>
      <c r="B507" s="70"/>
      <c r="D507" s="2"/>
    </row>
    <row r="508">
      <c r="A508" s="70"/>
      <c r="B508" s="70"/>
      <c r="D508" s="2"/>
    </row>
    <row r="509">
      <c r="A509" s="70"/>
      <c r="B509" s="70"/>
      <c r="D509" s="2"/>
    </row>
    <row r="510">
      <c r="A510" s="70"/>
      <c r="B510" s="70"/>
      <c r="D510" s="2"/>
    </row>
    <row r="511">
      <c r="A511" s="70"/>
      <c r="B511" s="70"/>
      <c r="D511" s="2"/>
    </row>
    <row r="512">
      <c r="A512" s="70"/>
      <c r="B512" s="70"/>
      <c r="D512" s="2"/>
    </row>
    <row r="513">
      <c r="A513" s="70"/>
      <c r="B513" s="70"/>
      <c r="D513" s="2"/>
    </row>
    <row r="514">
      <c r="A514" s="70"/>
      <c r="B514" s="70"/>
      <c r="D514" s="2"/>
    </row>
    <row r="515">
      <c r="A515" s="70"/>
      <c r="B515" s="70"/>
      <c r="D515" s="2"/>
    </row>
    <row r="516">
      <c r="A516" s="70"/>
      <c r="B516" s="70"/>
      <c r="D516" s="2"/>
    </row>
    <row r="517">
      <c r="A517" s="70"/>
      <c r="B517" s="70"/>
      <c r="D517" s="2"/>
    </row>
    <row r="518">
      <c r="A518" s="70"/>
      <c r="B518" s="70"/>
      <c r="D518" s="2"/>
    </row>
    <row r="519">
      <c r="A519" s="70"/>
      <c r="B519" s="70"/>
      <c r="D519" s="2"/>
    </row>
    <row r="520">
      <c r="A520" s="70"/>
      <c r="B520" s="70"/>
      <c r="D520" s="2"/>
    </row>
    <row r="521">
      <c r="A521" s="70"/>
      <c r="B521" s="70"/>
      <c r="D521" s="2"/>
    </row>
    <row r="522">
      <c r="A522" s="70"/>
      <c r="B522" s="70"/>
      <c r="D522" s="2"/>
    </row>
    <row r="523">
      <c r="A523" s="70"/>
      <c r="B523" s="70"/>
      <c r="D523" s="2"/>
    </row>
    <row r="524">
      <c r="A524" s="70"/>
      <c r="B524" s="70"/>
      <c r="D524" s="2"/>
    </row>
    <row r="525">
      <c r="A525" s="70"/>
      <c r="B525" s="70"/>
      <c r="D525" s="2"/>
    </row>
    <row r="526">
      <c r="A526" s="70"/>
      <c r="B526" s="70"/>
      <c r="D526" s="2"/>
    </row>
    <row r="527">
      <c r="A527" s="70"/>
      <c r="B527" s="70"/>
      <c r="D527" s="2"/>
    </row>
    <row r="528">
      <c r="A528" s="70"/>
      <c r="B528" s="70"/>
      <c r="D528" s="2"/>
    </row>
    <row r="529">
      <c r="A529" s="70"/>
      <c r="B529" s="70"/>
      <c r="D529" s="2"/>
    </row>
    <row r="530">
      <c r="A530" s="70"/>
      <c r="B530" s="70"/>
      <c r="D530" s="2"/>
    </row>
    <row r="531">
      <c r="A531" s="70"/>
      <c r="B531" s="70"/>
      <c r="D531" s="2"/>
    </row>
    <row r="532">
      <c r="A532" s="70"/>
      <c r="B532" s="70"/>
      <c r="D532" s="2"/>
    </row>
    <row r="533">
      <c r="A533" s="70"/>
      <c r="B533" s="70"/>
      <c r="D533" s="2"/>
    </row>
    <row r="534">
      <c r="A534" s="70"/>
      <c r="B534" s="70"/>
      <c r="D534" s="2"/>
    </row>
    <row r="535">
      <c r="A535" s="70"/>
      <c r="B535" s="70"/>
      <c r="D535" s="2"/>
    </row>
    <row r="536">
      <c r="A536" s="70"/>
      <c r="B536" s="70"/>
      <c r="D536" s="2"/>
    </row>
    <row r="537">
      <c r="A537" s="70"/>
      <c r="B537" s="70"/>
      <c r="D537" s="2"/>
    </row>
    <row r="538">
      <c r="A538" s="70"/>
      <c r="B538" s="70"/>
      <c r="D538" s="2"/>
    </row>
    <row r="539">
      <c r="A539" s="70"/>
      <c r="B539" s="70"/>
      <c r="D539" s="2"/>
    </row>
    <row r="540">
      <c r="A540" s="70"/>
      <c r="B540" s="70"/>
      <c r="D540" s="2"/>
    </row>
    <row r="541">
      <c r="A541" s="70"/>
      <c r="B541" s="70"/>
      <c r="D541" s="2"/>
    </row>
    <row r="542">
      <c r="A542" s="70"/>
      <c r="B542" s="70"/>
      <c r="D542" s="2"/>
    </row>
    <row r="543">
      <c r="A543" s="70"/>
      <c r="B543" s="70"/>
      <c r="D543" s="2"/>
    </row>
    <row r="544">
      <c r="A544" s="70"/>
      <c r="B544" s="70"/>
      <c r="D544" s="2"/>
    </row>
    <row r="545">
      <c r="A545" s="70"/>
      <c r="B545" s="70"/>
      <c r="D545" s="2"/>
    </row>
    <row r="546">
      <c r="A546" s="70"/>
      <c r="B546" s="70"/>
      <c r="D546" s="2"/>
    </row>
    <row r="547">
      <c r="A547" s="70"/>
      <c r="B547" s="70"/>
      <c r="D547" s="2"/>
    </row>
    <row r="548">
      <c r="A548" s="70"/>
      <c r="B548" s="70"/>
      <c r="D548" s="2"/>
    </row>
    <row r="549">
      <c r="A549" s="70"/>
      <c r="B549" s="70"/>
      <c r="D549" s="2"/>
    </row>
    <row r="550">
      <c r="A550" s="70"/>
      <c r="B550" s="70"/>
      <c r="D550" s="2"/>
    </row>
    <row r="551">
      <c r="A551" s="70"/>
      <c r="B551" s="70"/>
      <c r="D551" s="2"/>
    </row>
    <row r="552">
      <c r="A552" s="70"/>
      <c r="B552" s="70"/>
      <c r="D552" s="2"/>
    </row>
    <row r="553">
      <c r="A553" s="70"/>
      <c r="B553" s="70"/>
      <c r="D553" s="2"/>
    </row>
    <row r="554">
      <c r="A554" s="70"/>
      <c r="B554" s="70"/>
      <c r="D554" s="2"/>
    </row>
    <row r="555">
      <c r="A555" s="70"/>
      <c r="B555" s="70"/>
      <c r="D555" s="2"/>
    </row>
    <row r="556">
      <c r="A556" s="70"/>
      <c r="B556" s="70"/>
      <c r="D556" s="2"/>
    </row>
    <row r="557">
      <c r="A557" s="70"/>
      <c r="B557" s="70"/>
      <c r="D557" s="2"/>
    </row>
    <row r="558">
      <c r="A558" s="70"/>
      <c r="B558" s="70"/>
      <c r="D558" s="2"/>
    </row>
    <row r="559">
      <c r="A559" s="70"/>
      <c r="B559" s="70"/>
      <c r="D559" s="2"/>
    </row>
    <row r="560">
      <c r="A560" s="70"/>
      <c r="B560" s="70"/>
      <c r="D560" s="2"/>
    </row>
    <row r="561">
      <c r="A561" s="70"/>
      <c r="B561" s="70"/>
      <c r="D561" s="2"/>
    </row>
    <row r="562">
      <c r="A562" s="70"/>
      <c r="B562" s="70"/>
      <c r="D562" s="2"/>
    </row>
    <row r="563">
      <c r="A563" s="70"/>
      <c r="B563" s="70"/>
      <c r="D563" s="2"/>
    </row>
    <row r="564">
      <c r="A564" s="70"/>
      <c r="B564" s="70"/>
      <c r="D564" s="2"/>
    </row>
    <row r="565">
      <c r="A565" s="70"/>
      <c r="B565" s="70"/>
      <c r="D565" s="2"/>
    </row>
    <row r="566">
      <c r="A566" s="70"/>
      <c r="B566" s="70"/>
      <c r="D566" s="2"/>
    </row>
    <row r="567">
      <c r="A567" s="70"/>
      <c r="B567" s="70"/>
      <c r="D567" s="2"/>
    </row>
    <row r="568">
      <c r="A568" s="70"/>
      <c r="B568" s="70"/>
      <c r="D568" s="2"/>
    </row>
    <row r="569">
      <c r="A569" s="70"/>
      <c r="B569" s="70"/>
      <c r="D569" s="2"/>
    </row>
    <row r="570">
      <c r="A570" s="70"/>
      <c r="B570" s="70"/>
      <c r="D570" s="2"/>
    </row>
    <row r="571">
      <c r="A571" s="70"/>
      <c r="B571" s="70"/>
      <c r="D571" s="2"/>
    </row>
    <row r="572">
      <c r="A572" s="70"/>
      <c r="B572" s="70"/>
      <c r="D572" s="2"/>
    </row>
    <row r="573">
      <c r="A573" s="70"/>
      <c r="B573" s="70"/>
      <c r="D573" s="2"/>
    </row>
    <row r="574">
      <c r="A574" s="70"/>
      <c r="B574" s="70"/>
      <c r="D574" s="2"/>
    </row>
    <row r="575">
      <c r="A575" s="70"/>
      <c r="B575" s="70"/>
      <c r="D575" s="2"/>
    </row>
    <row r="576">
      <c r="A576" s="70"/>
      <c r="B576" s="70"/>
      <c r="D576" s="2"/>
    </row>
    <row r="577">
      <c r="A577" s="70"/>
      <c r="B577" s="70"/>
      <c r="D577" s="2"/>
    </row>
    <row r="578">
      <c r="A578" s="70"/>
      <c r="B578" s="70"/>
      <c r="D578" s="2"/>
    </row>
    <row r="579">
      <c r="A579" s="70"/>
      <c r="B579" s="70"/>
      <c r="D579" s="2"/>
    </row>
    <row r="580">
      <c r="A580" s="70"/>
      <c r="B580" s="70"/>
      <c r="D580" s="2"/>
    </row>
    <row r="581">
      <c r="A581" s="70"/>
      <c r="B581" s="70"/>
      <c r="D581" s="2"/>
    </row>
    <row r="582">
      <c r="A582" s="70"/>
      <c r="B582" s="70"/>
      <c r="D582" s="2"/>
    </row>
    <row r="583">
      <c r="A583" s="70"/>
      <c r="B583" s="70"/>
      <c r="D583" s="2"/>
    </row>
    <row r="584">
      <c r="A584" s="70"/>
      <c r="B584" s="70"/>
      <c r="D584" s="2"/>
    </row>
    <row r="585">
      <c r="A585" s="70"/>
      <c r="B585" s="70"/>
      <c r="D585" s="2"/>
    </row>
    <row r="586">
      <c r="A586" s="70"/>
      <c r="B586" s="70"/>
      <c r="D586" s="2"/>
    </row>
    <row r="587">
      <c r="A587" s="70"/>
      <c r="B587" s="70"/>
      <c r="D587" s="2"/>
    </row>
    <row r="588">
      <c r="A588" s="70"/>
      <c r="B588" s="70"/>
      <c r="D588" s="2"/>
    </row>
    <row r="589">
      <c r="A589" s="70"/>
      <c r="B589" s="70"/>
      <c r="D589" s="2"/>
    </row>
    <row r="590">
      <c r="A590" s="70"/>
      <c r="B590" s="70"/>
      <c r="D590" s="2"/>
    </row>
    <row r="591">
      <c r="A591" s="70"/>
      <c r="B591" s="70"/>
      <c r="D591" s="2"/>
    </row>
    <row r="592">
      <c r="A592" s="70"/>
      <c r="B592" s="70"/>
      <c r="D592" s="2"/>
    </row>
    <row r="593">
      <c r="A593" s="70"/>
      <c r="B593" s="70"/>
      <c r="D593" s="2"/>
    </row>
    <row r="594">
      <c r="A594" s="70"/>
      <c r="B594" s="70"/>
      <c r="D594" s="2"/>
    </row>
    <row r="595">
      <c r="A595" s="70"/>
      <c r="B595" s="70"/>
      <c r="D595" s="2"/>
    </row>
    <row r="596">
      <c r="A596" s="70"/>
      <c r="B596" s="70"/>
      <c r="D596" s="2"/>
    </row>
    <row r="597">
      <c r="A597" s="70"/>
      <c r="B597" s="70"/>
      <c r="D597" s="2"/>
    </row>
    <row r="598">
      <c r="A598" s="70"/>
      <c r="B598" s="70"/>
      <c r="D598" s="2"/>
    </row>
    <row r="599">
      <c r="A599" s="70"/>
      <c r="B599" s="70"/>
      <c r="D599" s="2"/>
    </row>
    <row r="600">
      <c r="A600" s="70"/>
      <c r="B600" s="70"/>
      <c r="D600" s="2"/>
    </row>
    <row r="601">
      <c r="A601" s="70"/>
      <c r="B601" s="70"/>
      <c r="D601" s="2"/>
    </row>
    <row r="602">
      <c r="A602" s="70"/>
      <c r="B602" s="70"/>
      <c r="D602" s="2"/>
    </row>
    <row r="603">
      <c r="A603" s="70"/>
      <c r="B603" s="70"/>
      <c r="D603" s="2"/>
    </row>
    <row r="604">
      <c r="A604" s="70"/>
      <c r="B604" s="70"/>
      <c r="D604" s="2"/>
    </row>
    <row r="605">
      <c r="A605" s="70"/>
      <c r="B605" s="70"/>
      <c r="D605" s="2"/>
    </row>
    <row r="606">
      <c r="A606" s="70"/>
      <c r="B606" s="70"/>
      <c r="D606" s="2"/>
    </row>
    <row r="607">
      <c r="A607" s="70"/>
      <c r="B607" s="70"/>
      <c r="D607" s="2"/>
    </row>
    <row r="608">
      <c r="A608" s="70"/>
      <c r="B608" s="70"/>
      <c r="D608" s="2"/>
    </row>
    <row r="609">
      <c r="A609" s="70"/>
      <c r="B609" s="70"/>
      <c r="D609" s="2"/>
    </row>
    <row r="610">
      <c r="A610" s="70"/>
      <c r="B610" s="70"/>
      <c r="D610" s="2"/>
    </row>
    <row r="611">
      <c r="A611" s="70"/>
      <c r="B611" s="70"/>
      <c r="D611" s="2"/>
    </row>
    <row r="612">
      <c r="A612" s="70"/>
      <c r="B612" s="70"/>
      <c r="D612" s="2"/>
    </row>
    <row r="613">
      <c r="A613" s="70"/>
      <c r="B613" s="70"/>
      <c r="D613" s="2"/>
    </row>
    <row r="614">
      <c r="A614" s="70"/>
      <c r="B614" s="70"/>
      <c r="D614" s="2"/>
    </row>
    <row r="615">
      <c r="A615" s="70"/>
      <c r="B615" s="70"/>
      <c r="D615" s="2"/>
    </row>
    <row r="616">
      <c r="A616" s="70"/>
      <c r="B616" s="70"/>
      <c r="D616" s="2"/>
    </row>
    <row r="617">
      <c r="A617" s="70"/>
      <c r="B617" s="70"/>
      <c r="D617" s="2"/>
    </row>
    <row r="618">
      <c r="A618" s="70"/>
      <c r="B618" s="70"/>
      <c r="D618" s="2"/>
    </row>
    <row r="619">
      <c r="A619" s="70"/>
      <c r="B619" s="70"/>
      <c r="D619" s="2"/>
    </row>
    <row r="620">
      <c r="A620" s="70"/>
      <c r="B620" s="70"/>
      <c r="D620" s="2"/>
    </row>
    <row r="621">
      <c r="A621" s="70"/>
      <c r="B621" s="70"/>
      <c r="D621" s="2"/>
    </row>
    <row r="622">
      <c r="A622" s="70"/>
      <c r="B622" s="70"/>
      <c r="D622" s="2"/>
    </row>
    <row r="623">
      <c r="A623" s="70"/>
      <c r="B623" s="70"/>
      <c r="D623" s="2"/>
    </row>
    <row r="624">
      <c r="A624" s="70"/>
      <c r="B624" s="70"/>
      <c r="D624" s="2"/>
    </row>
    <row r="625">
      <c r="A625" s="70"/>
      <c r="B625" s="70"/>
      <c r="D625" s="2"/>
    </row>
    <row r="626">
      <c r="A626" s="70"/>
      <c r="B626" s="70"/>
      <c r="D626" s="2"/>
    </row>
    <row r="627">
      <c r="A627" s="70"/>
      <c r="B627" s="70"/>
      <c r="D627" s="2"/>
    </row>
    <row r="628">
      <c r="A628" s="70"/>
      <c r="B628" s="70"/>
      <c r="D628" s="2"/>
    </row>
    <row r="629">
      <c r="A629" s="70"/>
      <c r="B629" s="70"/>
      <c r="D629" s="2"/>
    </row>
    <row r="630">
      <c r="A630" s="70"/>
      <c r="B630" s="70"/>
      <c r="D630" s="2"/>
    </row>
    <row r="631">
      <c r="A631" s="70"/>
      <c r="B631" s="70"/>
      <c r="D631" s="2"/>
    </row>
    <row r="632">
      <c r="A632" s="70"/>
      <c r="B632" s="70"/>
      <c r="D632" s="2"/>
    </row>
    <row r="633">
      <c r="A633" s="70"/>
      <c r="B633" s="70"/>
      <c r="D633" s="2"/>
    </row>
    <row r="634">
      <c r="A634" s="70"/>
      <c r="B634" s="70"/>
      <c r="D634" s="2"/>
    </row>
    <row r="635">
      <c r="A635" s="70"/>
      <c r="B635" s="70"/>
      <c r="D635" s="2"/>
    </row>
    <row r="636">
      <c r="A636" s="70"/>
      <c r="B636" s="70"/>
      <c r="D636" s="2"/>
    </row>
    <row r="637">
      <c r="A637" s="70"/>
      <c r="B637" s="70"/>
      <c r="D637" s="2"/>
    </row>
    <row r="638">
      <c r="A638" s="70"/>
      <c r="B638" s="70"/>
      <c r="D638" s="2"/>
    </row>
    <row r="639">
      <c r="A639" s="70"/>
      <c r="B639" s="70"/>
      <c r="D639" s="2"/>
    </row>
    <row r="640">
      <c r="A640" s="70"/>
      <c r="B640" s="70"/>
      <c r="D640" s="2"/>
    </row>
    <row r="641">
      <c r="A641" s="70"/>
      <c r="B641" s="70"/>
      <c r="D641" s="2"/>
    </row>
    <row r="642">
      <c r="A642" s="70"/>
      <c r="B642" s="70"/>
      <c r="D642" s="2"/>
    </row>
    <row r="643">
      <c r="A643" s="70"/>
      <c r="B643" s="70"/>
      <c r="D643" s="2"/>
    </row>
    <row r="644">
      <c r="A644" s="70"/>
      <c r="B644" s="70"/>
      <c r="D644" s="2"/>
    </row>
    <row r="645">
      <c r="A645" s="70"/>
      <c r="B645" s="70"/>
      <c r="D645" s="2"/>
    </row>
    <row r="646">
      <c r="A646" s="70"/>
      <c r="B646" s="70"/>
      <c r="D646" s="2"/>
    </row>
    <row r="647">
      <c r="A647" s="70"/>
      <c r="B647" s="70"/>
      <c r="D647" s="2"/>
    </row>
    <row r="648">
      <c r="A648" s="70"/>
      <c r="B648" s="70"/>
      <c r="D648" s="2"/>
    </row>
    <row r="649">
      <c r="A649" s="70"/>
      <c r="B649" s="70"/>
      <c r="D649" s="2"/>
    </row>
    <row r="650">
      <c r="A650" s="70"/>
      <c r="B650" s="70"/>
      <c r="D650" s="2"/>
    </row>
    <row r="651">
      <c r="A651" s="70"/>
      <c r="B651" s="70"/>
      <c r="D651" s="2"/>
    </row>
    <row r="652">
      <c r="A652" s="70"/>
      <c r="B652" s="70"/>
      <c r="D652" s="2"/>
    </row>
    <row r="653">
      <c r="A653" s="70"/>
      <c r="B653" s="70"/>
      <c r="D653" s="2"/>
    </row>
    <row r="654">
      <c r="A654" s="70"/>
      <c r="B654" s="70"/>
      <c r="D654" s="2"/>
    </row>
    <row r="655">
      <c r="A655" s="70"/>
      <c r="B655" s="70"/>
      <c r="D655" s="2"/>
    </row>
    <row r="656">
      <c r="A656" s="70"/>
      <c r="B656" s="70"/>
      <c r="D656" s="2"/>
    </row>
    <row r="657">
      <c r="A657" s="70"/>
      <c r="B657" s="70"/>
      <c r="D657" s="2"/>
    </row>
    <row r="658">
      <c r="A658" s="70"/>
      <c r="B658" s="70"/>
      <c r="D658" s="2"/>
    </row>
    <row r="659">
      <c r="A659" s="70"/>
      <c r="B659" s="70"/>
      <c r="D659" s="2"/>
    </row>
    <row r="660">
      <c r="A660" s="70"/>
      <c r="B660" s="70"/>
      <c r="D660" s="2"/>
    </row>
    <row r="661">
      <c r="A661" s="70"/>
      <c r="B661" s="70"/>
      <c r="D661" s="2"/>
    </row>
    <row r="662">
      <c r="A662" s="70"/>
      <c r="B662" s="70"/>
      <c r="D662" s="2"/>
    </row>
    <row r="663">
      <c r="A663" s="70"/>
      <c r="B663" s="70"/>
      <c r="D663" s="2"/>
    </row>
    <row r="664">
      <c r="A664" s="70"/>
      <c r="B664" s="70"/>
      <c r="D664" s="2"/>
    </row>
    <row r="665">
      <c r="A665" s="70"/>
      <c r="B665" s="70"/>
      <c r="D665" s="2"/>
    </row>
    <row r="666">
      <c r="A666" s="70"/>
      <c r="B666" s="70"/>
      <c r="D666" s="2"/>
    </row>
    <row r="667">
      <c r="A667" s="70"/>
      <c r="B667" s="70"/>
      <c r="D667" s="2"/>
    </row>
    <row r="668">
      <c r="A668" s="70"/>
      <c r="B668" s="70"/>
      <c r="D668" s="2"/>
    </row>
    <row r="669">
      <c r="A669" s="70"/>
      <c r="B669" s="70"/>
      <c r="D669" s="2"/>
    </row>
    <row r="670">
      <c r="A670" s="70"/>
      <c r="B670" s="70"/>
      <c r="D670" s="2"/>
    </row>
    <row r="671">
      <c r="A671" s="70"/>
      <c r="B671" s="70"/>
      <c r="D671" s="2"/>
    </row>
    <row r="672">
      <c r="A672" s="70"/>
      <c r="B672" s="70"/>
      <c r="D672" s="2"/>
    </row>
    <row r="673">
      <c r="A673" s="70"/>
      <c r="B673" s="70"/>
      <c r="D673" s="2"/>
    </row>
    <row r="674">
      <c r="A674" s="70"/>
      <c r="B674" s="70"/>
      <c r="D674" s="2"/>
    </row>
    <row r="675">
      <c r="A675" s="70"/>
      <c r="B675" s="70"/>
      <c r="D675" s="2"/>
    </row>
    <row r="676">
      <c r="A676" s="70"/>
      <c r="B676" s="70"/>
      <c r="D676" s="2"/>
    </row>
    <row r="677">
      <c r="A677" s="70"/>
      <c r="B677" s="70"/>
      <c r="D677" s="2"/>
    </row>
    <row r="678">
      <c r="A678" s="70"/>
      <c r="B678" s="70"/>
      <c r="D678" s="2"/>
    </row>
    <row r="679">
      <c r="A679" s="70"/>
      <c r="B679" s="70"/>
      <c r="D679" s="2"/>
    </row>
    <row r="680">
      <c r="A680" s="70"/>
      <c r="B680" s="70"/>
      <c r="D680" s="2"/>
    </row>
    <row r="681">
      <c r="A681" s="70"/>
      <c r="B681" s="70"/>
      <c r="D681" s="2"/>
    </row>
    <row r="682">
      <c r="A682" s="70"/>
      <c r="B682" s="70"/>
      <c r="D682" s="2"/>
    </row>
    <row r="683">
      <c r="A683" s="70"/>
      <c r="B683" s="70"/>
      <c r="D683" s="2"/>
    </row>
    <row r="684">
      <c r="A684" s="70"/>
      <c r="B684" s="70"/>
      <c r="D684" s="2"/>
    </row>
    <row r="685">
      <c r="A685" s="70"/>
      <c r="B685" s="70"/>
      <c r="D685" s="2"/>
    </row>
    <row r="686">
      <c r="A686" s="70"/>
      <c r="B686" s="70"/>
      <c r="D686" s="2"/>
    </row>
    <row r="687">
      <c r="A687" s="70"/>
      <c r="B687" s="70"/>
      <c r="D687" s="2"/>
    </row>
    <row r="688">
      <c r="A688" s="70"/>
      <c r="B688" s="70"/>
      <c r="D688" s="2"/>
    </row>
    <row r="689">
      <c r="A689" s="70"/>
      <c r="B689" s="70"/>
      <c r="D689" s="2"/>
    </row>
    <row r="690">
      <c r="A690" s="70"/>
      <c r="B690" s="70"/>
      <c r="D690" s="2"/>
    </row>
    <row r="691">
      <c r="A691" s="70"/>
      <c r="B691" s="70"/>
      <c r="D691" s="2"/>
    </row>
    <row r="692">
      <c r="A692" s="70"/>
      <c r="B692" s="70"/>
      <c r="D692" s="2"/>
    </row>
    <row r="693">
      <c r="A693" s="70"/>
      <c r="B693" s="70"/>
      <c r="D693" s="2"/>
    </row>
    <row r="694">
      <c r="A694" s="70"/>
      <c r="B694" s="70"/>
      <c r="D694" s="2"/>
    </row>
    <row r="695">
      <c r="A695" s="70"/>
      <c r="B695" s="70"/>
      <c r="D695" s="2"/>
    </row>
    <row r="696">
      <c r="A696" s="70"/>
      <c r="B696" s="70"/>
      <c r="D696" s="2"/>
    </row>
    <row r="697">
      <c r="A697" s="70"/>
      <c r="B697" s="70"/>
      <c r="D697" s="2"/>
    </row>
    <row r="698">
      <c r="A698" s="70"/>
      <c r="B698" s="70"/>
      <c r="D698" s="2"/>
    </row>
    <row r="699">
      <c r="A699" s="70"/>
      <c r="B699" s="70"/>
      <c r="D699" s="2"/>
    </row>
    <row r="700">
      <c r="A700" s="70"/>
      <c r="B700" s="70"/>
      <c r="D700" s="2"/>
    </row>
    <row r="701">
      <c r="A701" s="70"/>
      <c r="B701" s="70"/>
      <c r="D701" s="2"/>
    </row>
    <row r="702">
      <c r="A702" s="70"/>
      <c r="B702" s="70"/>
      <c r="D702" s="2"/>
    </row>
    <row r="703">
      <c r="A703" s="70"/>
      <c r="B703" s="70"/>
      <c r="D703" s="2"/>
    </row>
    <row r="704">
      <c r="A704" s="70"/>
      <c r="B704" s="70"/>
      <c r="D704" s="2"/>
    </row>
    <row r="705">
      <c r="A705" s="70"/>
      <c r="B705" s="70"/>
      <c r="D705" s="2"/>
    </row>
    <row r="706">
      <c r="A706" s="70"/>
      <c r="B706" s="70"/>
      <c r="D706" s="2"/>
    </row>
    <row r="707">
      <c r="A707" s="70"/>
      <c r="B707" s="70"/>
      <c r="D707" s="2"/>
    </row>
    <row r="708">
      <c r="A708" s="70"/>
      <c r="B708" s="70"/>
      <c r="D708" s="2"/>
    </row>
    <row r="709">
      <c r="A709" s="70"/>
      <c r="B709" s="70"/>
      <c r="D709" s="2"/>
    </row>
    <row r="710">
      <c r="A710" s="70"/>
      <c r="B710" s="70"/>
      <c r="D710" s="2"/>
    </row>
    <row r="711">
      <c r="A711" s="70"/>
      <c r="B711" s="70"/>
      <c r="D711" s="2"/>
    </row>
    <row r="712">
      <c r="A712" s="70"/>
      <c r="B712" s="70"/>
      <c r="D712" s="2"/>
    </row>
    <row r="713">
      <c r="A713" s="70"/>
      <c r="B713" s="70"/>
      <c r="D713" s="2"/>
    </row>
    <row r="714">
      <c r="A714" s="70"/>
      <c r="B714" s="70"/>
      <c r="D714" s="2"/>
    </row>
    <row r="715">
      <c r="A715" s="70"/>
      <c r="B715" s="70"/>
      <c r="D715" s="2"/>
    </row>
    <row r="716">
      <c r="A716" s="70"/>
      <c r="B716" s="70"/>
      <c r="D716" s="2"/>
    </row>
    <row r="717">
      <c r="A717" s="70"/>
      <c r="B717" s="70"/>
      <c r="D717" s="2"/>
    </row>
    <row r="718">
      <c r="A718" s="70"/>
      <c r="B718" s="70"/>
      <c r="D718" s="2"/>
    </row>
    <row r="719">
      <c r="A719" s="70"/>
      <c r="B719" s="70"/>
      <c r="D719" s="2"/>
    </row>
    <row r="720">
      <c r="A720" s="70"/>
      <c r="B720" s="70"/>
      <c r="D720" s="2"/>
    </row>
    <row r="721">
      <c r="A721" s="70"/>
      <c r="B721" s="70"/>
      <c r="D721" s="2"/>
    </row>
    <row r="722">
      <c r="A722" s="70"/>
      <c r="B722" s="70"/>
      <c r="D722" s="2"/>
    </row>
    <row r="723">
      <c r="A723" s="70"/>
      <c r="B723" s="70"/>
      <c r="D723" s="2"/>
    </row>
    <row r="724">
      <c r="A724" s="70"/>
      <c r="B724" s="70"/>
      <c r="D724" s="2"/>
    </row>
    <row r="725">
      <c r="A725" s="70"/>
      <c r="B725" s="70"/>
      <c r="D725" s="2"/>
    </row>
    <row r="726">
      <c r="A726" s="70"/>
      <c r="B726" s="70"/>
      <c r="D726" s="2"/>
    </row>
    <row r="727">
      <c r="A727" s="70"/>
      <c r="B727" s="70"/>
      <c r="D727" s="2"/>
    </row>
    <row r="728">
      <c r="A728" s="70"/>
      <c r="B728" s="70"/>
      <c r="D728" s="2"/>
    </row>
    <row r="729">
      <c r="A729" s="70"/>
      <c r="B729" s="70"/>
      <c r="D729" s="2"/>
    </row>
    <row r="730">
      <c r="A730" s="70"/>
      <c r="B730" s="70"/>
      <c r="D730" s="2"/>
    </row>
    <row r="731">
      <c r="A731" s="70"/>
      <c r="B731" s="70"/>
      <c r="D731" s="2"/>
    </row>
    <row r="732">
      <c r="A732" s="70"/>
      <c r="B732" s="70"/>
      <c r="D732" s="2"/>
    </row>
    <row r="733">
      <c r="A733" s="70"/>
      <c r="B733" s="70"/>
      <c r="D733" s="2"/>
    </row>
    <row r="734">
      <c r="A734" s="70"/>
      <c r="B734" s="70"/>
      <c r="D734" s="2"/>
    </row>
    <row r="735">
      <c r="A735" s="70"/>
      <c r="B735" s="70"/>
      <c r="D735" s="2"/>
    </row>
    <row r="736">
      <c r="A736" s="70"/>
      <c r="B736" s="70"/>
      <c r="D736" s="2"/>
    </row>
    <row r="737">
      <c r="A737" s="70"/>
      <c r="B737" s="70"/>
      <c r="D737" s="2"/>
    </row>
    <row r="738">
      <c r="A738" s="70"/>
      <c r="B738" s="70"/>
      <c r="D738" s="2"/>
    </row>
    <row r="739">
      <c r="A739" s="70"/>
      <c r="B739" s="70"/>
      <c r="D739" s="2"/>
    </row>
    <row r="740">
      <c r="A740" s="70"/>
      <c r="B740" s="70"/>
      <c r="D740" s="2"/>
    </row>
    <row r="741">
      <c r="A741" s="70"/>
      <c r="B741" s="70"/>
      <c r="D741" s="2"/>
    </row>
    <row r="742">
      <c r="A742" s="70"/>
      <c r="B742" s="70"/>
      <c r="D742" s="2"/>
    </row>
    <row r="743">
      <c r="A743" s="70"/>
      <c r="B743" s="70"/>
      <c r="D743" s="2"/>
    </row>
    <row r="744">
      <c r="A744" s="70"/>
      <c r="B744" s="70"/>
      <c r="D744" s="2"/>
    </row>
    <row r="745">
      <c r="A745" s="70"/>
      <c r="B745" s="70"/>
      <c r="D745" s="2"/>
    </row>
    <row r="746">
      <c r="A746" s="70"/>
      <c r="B746" s="70"/>
      <c r="D746" s="2"/>
    </row>
    <row r="747">
      <c r="A747" s="70"/>
      <c r="B747" s="70"/>
      <c r="D747" s="2"/>
    </row>
    <row r="748">
      <c r="A748" s="70"/>
      <c r="B748" s="70"/>
      <c r="D748" s="2"/>
    </row>
    <row r="749">
      <c r="A749" s="70"/>
      <c r="B749" s="70"/>
      <c r="D749" s="2"/>
    </row>
    <row r="750">
      <c r="A750" s="70"/>
      <c r="B750" s="70"/>
      <c r="D750" s="2"/>
    </row>
    <row r="751">
      <c r="A751" s="70"/>
      <c r="B751" s="70"/>
      <c r="D751" s="2"/>
    </row>
    <row r="752">
      <c r="A752" s="70"/>
      <c r="B752" s="70"/>
      <c r="D752" s="2"/>
    </row>
    <row r="753">
      <c r="A753" s="70"/>
      <c r="B753" s="70"/>
      <c r="D753" s="2"/>
    </row>
    <row r="754">
      <c r="A754" s="70"/>
      <c r="B754" s="70"/>
      <c r="D754" s="2"/>
    </row>
    <row r="755">
      <c r="A755" s="70"/>
      <c r="B755" s="70"/>
      <c r="D755" s="2"/>
    </row>
    <row r="756">
      <c r="A756" s="70"/>
      <c r="B756" s="70"/>
      <c r="D756" s="2"/>
    </row>
    <row r="757">
      <c r="A757" s="70"/>
      <c r="B757" s="70"/>
      <c r="D757" s="2"/>
    </row>
    <row r="758">
      <c r="A758" s="70"/>
      <c r="B758" s="70"/>
      <c r="D758" s="2"/>
    </row>
    <row r="759">
      <c r="A759" s="70"/>
      <c r="B759" s="70"/>
      <c r="D759" s="2"/>
    </row>
    <row r="760">
      <c r="A760" s="70"/>
      <c r="B760" s="70"/>
      <c r="D760" s="2"/>
    </row>
    <row r="761">
      <c r="A761" s="70"/>
      <c r="B761" s="70"/>
      <c r="D761" s="2"/>
    </row>
    <row r="762">
      <c r="A762" s="70"/>
      <c r="B762" s="70"/>
      <c r="D762" s="2"/>
    </row>
    <row r="763">
      <c r="A763" s="70"/>
      <c r="B763" s="70"/>
      <c r="D763" s="2"/>
    </row>
    <row r="764">
      <c r="A764" s="70"/>
      <c r="B764" s="70"/>
      <c r="D764" s="2"/>
    </row>
    <row r="765">
      <c r="A765" s="70"/>
      <c r="B765" s="70"/>
      <c r="D765" s="2"/>
    </row>
    <row r="766">
      <c r="A766" s="70"/>
      <c r="B766" s="70"/>
      <c r="D766" s="2"/>
    </row>
    <row r="767">
      <c r="A767" s="70"/>
      <c r="B767" s="70"/>
      <c r="D767" s="2"/>
    </row>
    <row r="768">
      <c r="A768" s="70"/>
      <c r="B768" s="70"/>
      <c r="D768" s="2"/>
    </row>
    <row r="769">
      <c r="A769" s="70"/>
      <c r="B769" s="70"/>
      <c r="D769" s="2"/>
    </row>
    <row r="770">
      <c r="A770" s="70"/>
      <c r="B770" s="70"/>
      <c r="D770" s="2"/>
    </row>
    <row r="771">
      <c r="A771" s="70"/>
      <c r="B771" s="70"/>
      <c r="D771" s="2"/>
    </row>
    <row r="772">
      <c r="A772" s="70"/>
      <c r="B772" s="70"/>
      <c r="D772" s="2"/>
    </row>
    <row r="773">
      <c r="A773" s="70"/>
      <c r="B773" s="70"/>
      <c r="D773" s="2"/>
    </row>
    <row r="774">
      <c r="A774" s="70"/>
      <c r="B774" s="70"/>
      <c r="D774" s="2"/>
    </row>
    <row r="775">
      <c r="A775" s="70"/>
      <c r="B775" s="70"/>
      <c r="D775" s="2"/>
    </row>
    <row r="776">
      <c r="A776" s="70"/>
      <c r="B776" s="70"/>
      <c r="D776" s="2"/>
    </row>
    <row r="777">
      <c r="A777" s="70"/>
      <c r="B777" s="70"/>
      <c r="D777" s="2"/>
    </row>
    <row r="778">
      <c r="A778" s="70"/>
      <c r="B778" s="70"/>
      <c r="D778" s="2"/>
    </row>
    <row r="779">
      <c r="A779" s="70"/>
      <c r="B779" s="70"/>
      <c r="D779" s="2"/>
    </row>
    <row r="780">
      <c r="A780" s="70"/>
      <c r="B780" s="70"/>
      <c r="D780" s="2"/>
    </row>
    <row r="781">
      <c r="A781" s="70"/>
      <c r="B781" s="70"/>
      <c r="D781" s="2"/>
    </row>
    <row r="782">
      <c r="A782" s="70"/>
      <c r="B782" s="70"/>
      <c r="D782" s="2"/>
    </row>
    <row r="783">
      <c r="A783" s="70"/>
      <c r="B783" s="70"/>
      <c r="D783" s="2"/>
    </row>
    <row r="784">
      <c r="A784" s="70"/>
      <c r="B784" s="70"/>
      <c r="D784" s="2"/>
    </row>
    <row r="785">
      <c r="A785" s="70"/>
      <c r="B785" s="70"/>
      <c r="D785" s="2"/>
    </row>
    <row r="786">
      <c r="A786" s="70"/>
      <c r="B786" s="70"/>
      <c r="D786" s="2"/>
    </row>
    <row r="787">
      <c r="A787" s="70"/>
      <c r="B787" s="70"/>
      <c r="D787" s="2"/>
    </row>
    <row r="788">
      <c r="A788" s="70"/>
      <c r="B788" s="70"/>
      <c r="D788" s="2"/>
    </row>
    <row r="789">
      <c r="A789" s="70"/>
      <c r="B789" s="70"/>
      <c r="D789" s="2"/>
    </row>
    <row r="790">
      <c r="A790" s="70"/>
      <c r="B790" s="70"/>
      <c r="D790" s="2"/>
    </row>
    <row r="791">
      <c r="A791" s="70"/>
      <c r="B791" s="70"/>
      <c r="D791" s="2"/>
    </row>
    <row r="792">
      <c r="A792" s="70"/>
      <c r="B792" s="70"/>
      <c r="D792" s="2"/>
    </row>
    <row r="793">
      <c r="A793" s="70"/>
      <c r="B793" s="70"/>
      <c r="D793" s="2"/>
    </row>
    <row r="794">
      <c r="A794" s="70"/>
      <c r="B794" s="70"/>
      <c r="D794" s="2"/>
    </row>
    <row r="795">
      <c r="A795" s="70"/>
      <c r="B795" s="70"/>
      <c r="D795" s="2"/>
    </row>
    <row r="796">
      <c r="A796" s="70"/>
      <c r="B796" s="70"/>
      <c r="D796" s="2"/>
    </row>
    <row r="797">
      <c r="A797" s="70"/>
      <c r="B797" s="70"/>
      <c r="D797" s="2"/>
    </row>
    <row r="798">
      <c r="A798" s="70"/>
      <c r="B798" s="70"/>
      <c r="D798" s="2"/>
    </row>
    <row r="799">
      <c r="A799" s="70"/>
      <c r="B799" s="70"/>
      <c r="D799" s="2"/>
    </row>
    <row r="800">
      <c r="A800" s="70"/>
      <c r="B800" s="70"/>
      <c r="D800" s="2"/>
    </row>
    <row r="801">
      <c r="A801" s="70"/>
      <c r="B801" s="70"/>
      <c r="D801" s="2"/>
    </row>
    <row r="802">
      <c r="A802" s="70"/>
      <c r="B802" s="70"/>
      <c r="D802" s="2"/>
    </row>
    <row r="803">
      <c r="A803" s="70"/>
      <c r="B803" s="70"/>
      <c r="D803" s="2"/>
    </row>
    <row r="804">
      <c r="A804" s="70"/>
      <c r="B804" s="70"/>
      <c r="D804" s="2"/>
    </row>
    <row r="805">
      <c r="A805" s="70"/>
      <c r="B805" s="70"/>
      <c r="D805" s="2"/>
    </row>
    <row r="806">
      <c r="A806" s="70"/>
      <c r="B806" s="70"/>
      <c r="D806" s="2"/>
    </row>
    <row r="807">
      <c r="A807" s="70"/>
      <c r="B807" s="70"/>
      <c r="D807" s="2"/>
    </row>
    <row r="808">
      <c r="A808" s="70"/>
      <c r="B808" s="70"/>
      <c r="D808" s="2"/>
    </row>
    <row r="809">
      <c r="A809" s="70"/>
      <c r="B809" s="70"/>
      <c r="D809" s="2"/>
    </row>
    <row r="810">
      <c r="A810" s="70"/>
      <c r="B810" s="70"/>
      <c r="D810" s="2"/>
    </row>
    <row r="811">
      <c r="A811" s="70"/>
      <c r="B811" s="70"/>
      <c r="D811" s="2"/>
    </row>
    <row r="812">
      <c r="A812" s="70"/>
      <c r="B812" s="70"/>
      <c r="D812" s="2"/>
    </row>
    <row r="813">
      <c r="A813" s="70"/>
      <c r="B813" s="70"/>
      <c r="D813" s="2"/>
    </row>
    <row r="814">
      <c r="A814" s="70"/>
      <c r="B814" s="70"/>
      <c r="D814" s="2"/>
    </row>
    <row r="815">
      <c r="A815" s="70"/>
      <c r="B815" s="70"/>
      <c r="D815" s="2"/>
    </row>
    <row r="816">
      <c r="A816" s="70"/>
      <c r="B816" s="70"/>
      <c r="D816" s="2"/>
    </row>
    <row r="817">
      <c r="A817" s="70"/>
      <c r="B817" s="70"/>
      <c r="D817" s="2"/>
    </row>
    <row r="818">
      <c r="A818" s="70"/>
      <c r="B818" s="70"/>
      <c r="D818" s="2"/>
    </row>
    <row r="819">
      <c r="A819" s="70"/>
      <c r="B819" s="70"/>
      <c r="D819" s="2"/>
    </row>
    <row r="820">
      <c r="A820" s="70"/>
      <c r="B820" s="70"/>
      <c r="D820" s="2"/>
    </row>
    <row r="821">
      <c r="A821" s="70"/>
      <c r="B821" s="70"/>
      <c r="D821" s="2"/>
    </row>
    <row r="822">
      <c r="A822" s="70"/>
      <c r="B822" s="70"/>
      <c r="D822" s="2"/>
    </row>
    <row r="823">
      <c r="A823" s="70"/>
      <c r="B823" s="70"/>
      <c r="D823" s="2"/>
    </row>
    <row r="824">
      <c r="A824" s="70"/>
      <c r="B824" s="70"/>
      <c r="D824" s="2"/>
    </row>
    <row r="825">
      <c r="A825" s="70"/>
      <c r="B825" s="70"/>
      <c r="D825" s="2"/>
    </row>
    <row r="826">
      <c r="A826" s="70"/>
      <c r="B826" s="70"/>
      <c r="D826" s="2"/>
    </row>
    <row r="827">
      <c r="A827" s="70"/>
      <c r="B827" s="70"/>
      <c r="D827" s="2"/>
    </row>
    <row r="828">
      <c r="A828" s="70"/>
      <c r="B828" s="70"/>
      <c r="D828" s="2"/>
    </row>
    <row r="829">
      <c r="A829" s="70"/>
      <c r="B829" s="70"/>
      <c r="D829" s="2"/>
    </row>
    <row r="830">
      <c r="A830" s="70"/>
      <c r="B830" s="70"/>
      <c r="D830" s="2"/>
    </row>
    <row r="831">
      <c r="A831" s="70"/>
      <c r="B831" s="70"/>
      <c r="D831" s="2"/>
    </row>
    <row r="832">
      <c r="A832" s="70"/>
      <c r="B832" s="70"/>
      <c r="D832" s="2"/>
    </row>
    <row r="833">
      <c r="A833" s="70"/>
      <c r="B833" s="70"/>
      <c r="D833" s="2"/>
    </row>
    <row r="834">
      <c r="A834" s="70"/>
      <c r="B834" s="70"/>
      <c r="D834" s="2"/>
    </row>
    <row r="835">
      <c r="A835" s="70"/>
      <c r="B835" s="70"/>
      <c r="D835" s="2"/>
    </row>
    <row r="836">
      <c r="A836" s="70"/>
      <c r="B836" s="70"/>
      <c r="D836" s="2"/>
    </row>
    <row r="837">
      <c r="A837" s="70"/>
      <c r="B837" s="70"/>
      <c r="D837" s="2"/>
    </row>
    <row r="838">
      <c r="A838" s="70"/>
      <c r="B838" s="70"/>
      <c r="D838" s="2"/>
    </row>
    <row r="839">
      <c r="A839" s="70"/>
      <c r="B839" s="70"/>
      <c r="D839" s="2"/>
    </row>
    <row r="840">
      <c r="A840" s="70"/>
      <c r="B840" s="70"/>
      <c r="D840" s="2"/>
    </row>
    <row r="841">
      <c r="A841" s="70"/>
      <c r="B841" s="70"/>
      <c r="D841" s="2"/>
    </row>
    <row r="842">
      <c r="A842" s="70"/>
      <c r="B842" s="70"/>
      <c r="D842" s="2"/>
    </row>
    <row r="843">
      <c r="A843" s="70"/>
      <c r="B843" s="70"/>
      <c r="D843" s="2"/>
    </row>
    <row r="844">
      <c r="A844" s="70"/>
      <c r="B844" s="70"/>
      <c r="D844" s="2"/>
    </row>
    <row r="845">
      <c r="A845" s="70"/>
      <c r="B845" s="70"/>
      <c r="D845" s="2"/>
    </row>
    <row r="846">
      <c r="A846" s="70"/>
      <c r="B846" s="70"/>
      <c r="D846" s="2"/>
    </row>
    <row r="847">
      <c r="A847" s="70"/>
      <c r="B847" s="70"/>
      <c r="D847" s="2"/>
    </row>
    <row r="848">
      <c r="A848" s="70"/>
      <c r="B848" s="70"/>
      <c r="D848" s="2"/>
    </row>
    <row r="849">
      <c r="A849" s="70"/>
      <c r="B849" s="70"/>
      <c r="D849" s="2"/>
    </row>
    <row r="850">
      <c r="A850" s="70"/>
      <c r="B850" s="70"/>
      <c r="D850" s="2"/>
    </row>
    <row r="851">
      <c r="A851" s="70"/>
      <c r="B851" s="70"/>
      <c r="D851" s="2"/>
    </row>
    <row r="852">
      <c r="A852" s="70"/>
      <c r="B852" s="70"/>
      <c r="D852" s="2"/>
    </row>
    <row r="853">
      <c r="A853" s="70"/>
      <c r="B853" s="70"/>
      <c r="D853" s="2"/>
    </row>
    <row r="854">
      <c r="A854" s="70"/>
      <c r="B854" s="70"/>
      <c r="D854" s="2"/>
    </row>
    <row r="855">
      <c r="A855" s="70"/>
      <c r="B855" s="70"/>
      <c r="D855" s="2"/>
    </row>
    <row r="856">
      <c r="A856" s="70"/>
      <c r="B856" s="70"/>
      <c r="D856" s="2"/>
    </row>
    <row r="857">
      <c r="A857" s="70"/>
      <c r="B857" s="70"/>
      <c r="D857" s="2"/>
    </row>
    <row r="858">
      <c r="A858" s="70"/>
      <c r="B858" s="70"/>
      <c r="D858" s="2"/>
    </row>
    <row r="859">
      <c r="A859" s="70"/>
      <c r="B859" s="70"/>
      <c r="D859" s="2"/>
    </row>
    <row r="860">
      <c r="A860" s="70"/>
      <c r="B860" s="70"/>
      <c r="D860" s="2"/>
    </row>
    <row r="861">
      <c r="A861" s="70"/>
      <c r="B861" s="70"/>
      <c r="D861" s="2"/>
    </row>
    <row r="862">
      <c r="A862" s="70"/>
      <c r="B862" s="70"/>
      <c r="D862" s="2"/>
    </row>
    <row r="863">
      <c r="A863" s="70"/>
      <c r="B863" s="70"/>
      <c r="D863" s="2"/>
    </row>
    <row r="864">
      <c r="A864" s="70"/>
      <c r="B864" s="70"/>
      <c r="D864" s="2"/>
    </row>
    <row r="865">
      <c r="A865" s="70"/>
      <c r="B865" s="70"/>
      <c r="D865" s="2"/>
    </row>
    <row r="866">
      <c r="A866" s="70"/>
      <c r="B866" s="70"/>
      <c r="D866" s="2"/>
    </row>
    <row r="867">
      <c r="A867" s="70"/>
      <c r="B867" s="70"/>
      <c r="D867" s="2"/>
    </row>
    <row r="868">
      <c r="A868" s="70"/>
      <c r="B868" s="70"/>
      <c r="D868" s="2"/>
    </row>
    <row r="869">
      <c r="A869" s="70"/>
      <c r="B869" s="70"/>
      <c r="D869" s="2"/>
    </row>
    <row r="870">
      <c r="A870" s="70"/>
      <c r="B870" s="70"/>
      <c r="D870" s="2"/>
    </row>
    <row r="871">
      <c r="A871" s="70"/>
      <c r="B871" s="70"/>
      <c r="D871" s="2"/>
    </row>
    <row r="872">
      <c r="A872" s="70"/>
      <c r="B872" s="70"/>
      <c r="D872" s="2"/>
    </row>
    <row r="873">
      <c r="A873" s="70"/>
      <c r="B873" s="70"/>
      <c r="D873" s="2"/>
    </row>
    <row r="874">
      <c r="A874" s="70"/>
      <c r="B874" s="70"/>
      <c r="D874" s="2"/>
    </row>
    <row r="875">
      <c r="A875" s="70"/>
      <c r="B875" s="70"/>
      <c r="D875" s="2"/>
    </row>
    <row r="876">
      <c r="A876" s="70"/>
      <c r="B876" s="70"/>
      <c r="D876" s="2"/>
    </row>
    <row r="877">
      <c r="A877" s="70"/>
      <c r="B877" s="70"/>
      <c r="D877" s="2"/>
    </row>
    <row r="878">
      <c r="A878" s="70"/>
      <c r="B878" s="70"/>
      <c r="D878" s="2"/>
    </row>
    <row r="879">
      <c r="A879" s="70"/>
      <c r="B879" s="70"/>
      <c r="D879" s="2"/>
    </row>
    <row r="880">
      <c r="A880" s="70"/>
      <c r="B880" s="70"/>
      <c r="D880" s="2"/>
    </row>
    <row r="881">
      <c r="A881" s="70"/>
      <c r="B881" s="70"/>
      <c r="D881" s="2"/>
    </row>
    <row r="882">
      <c r="A882" s="70"/>
      <c r="B882" s="70"/>
      <c r="D882" s="2"/>
    </row>
    <row r="883">
      <c r="A883" s="70"/>
      <c r="B883" s="70"/>
      <c r="D883" s="2"/>
    </row>
    <row r="884">
      <c r="A884" s="70"/>
      <c r="B884" s="70"/>
      <c r="D884" s="2"/>
    </row>
    <row r="885">
      <c r="A885" s="70"/>
      <c r="B885" s="70"/>
      <c r="D885" s="2"/>
    </row>
    <row r="886">
      <c r="A886" s="70"/>
      <c r="B886" s="70"/>
      <c r="D886" s="2"/>
    </row>
    <row r="887">
      <c r="A887" s="70"/>
      <c r="B887" s="70"/>
      <c r="D887" s="2"/>
    </row>
    <row r="888">
      <c r="A888" s="70"/>
      <c r="B888" s="70"/>
      <c r="D888" s="2"/>
    </row>
    <row r="889">
      <c r="A889" s="70"/>
      <c r="B889" s="70"/>
      <c r="D889" s="2"/>
    </row>
    <row r="890">
      <c r="A890" s="70"/>
      <c r="B890" s="70"/>
      <c r="D890" s="2"/>
    </row>
    <row r="891">
      <c r="A891" s="70"/>
      <c r="B891" s="70"/>
      <c r="D891" s="2"/>
    </row>
    <row r="892">
      <c r="A892" s="70"/>
      <c r="B892" s="70"/>
      <c r="D892" s="2"/>
    </row>
    <row r="893">
      <c r="A893" s="70"/>
      <c r="B893" s="70"/>
      <c r="D893" s="2"/>
    </row>
    <row r="894">
      <c r="A894" s="70"/>
      <c r="B894" s="70"/>
      <c r="D894" s="2"/>
    </row>
    <row r="895">
      <c r="A895" s="70"/>
      <c r="B895" s="70"/>
      <c r="D895" s="2"/>
    </row>
    <row r="896">
      <c r="A896" s="70"/>
      <c r="B896" s="70"/>
      <c r="D896" s="2"/>
    </row>
    <row r="897">
      <c r="A897" s="70"/>
      <c r="B897" s="70"/>
      <c r="D897" s="2"/>
    </row>
    <row r="898">
      <c r="A898" s="70"/>
      <c r="B898" s="70"/>
      <c r="D898" s="2"/>
    </row>
    <row r="899">
      <c r="A899" s="70"/>
      <c r="B899" s="70"/>
      <c r="D899" s="2"/>
    </row>
    <row r="900">
      <c r="A900" s="70"/>
      <c r="B900" s="70"/>
      <c r="D900" s="2"/>
    </row>
    <row r="901">
      <c r="A901" s="70"/>
      <c r="B901" s="70"/>
      <c r="D901" s="2"/>
    </row>
    <row r="902">
      <c r="A902" s="70"/>
      <c r="B902" s="70"/>
      <c r="D902" s="2"/>
    </row>
    <row r="903">
      <c r="A903" s="70"/>
      <c r="B903" s="70"/>
      <c r="D903" s="2"/>
    </row>
    <row r="904">
      <c r="A904" s="70"/>
      <c r="B904" s="70"/>
      <c r="D904" s="2"/>
    </row>
    <row r="905">
      <c r="A905" s="70"/>
      <c r="B905" s="70"/>
      <c r="D905" s="2"/>
    </row>
    <row r="906">
      <c r="A906" s="70"/>
      <c r="B906" s="70"/>
      <c r="D906" s="2"/>
    </row>
    <row r="907">
      <c r="A907" s="70"/>
      <c r="B907" s="70"/>
      <c r="D907" s="2"/>
    </row>
    <row r="908">
      <c r="A908" s="70"/>
      <c r="B908" s="70"/>
      <c r="D908" s="2"/>
    </row>
    <row r="909">
      <c r="A909" s="70"/>
      <c r="B909" s="70"/>
      <c r="D909" s="2"/>
    </row>
    <row r="910">
      <c r="A910" s="70"/>
      <c r="B910" s="70"/>
      <c r="D910" s="2"/>
    </row>
    <row r="911">
      <c r="A911" s="70"/>
      <c r="B911" s="70"/>
      <c r="D911" s="2"/>
    </row>
    <row r="912">
      <c r="A912" s="70"/>
      <c r="B912" s="70"/>
      <c r="D912" s="2"/>
    </row>
    <row r="913">
      <c r="A913" s="70"/>
      <c r="B913" s="70"/>
      <c r="D913" s="2"/>
    </row>
    <row r="914">
      <c r="A914" s="70"/>
      <c r="B914" s="70"/>
      <c r="D914" s="2"/>
    </row>
    <row r="915">
      <c r="A915" s="70"/>
      <c r="B915" s="70"/>
      <c r="D915" s="2"/>
    </row>
    <row r="916">
      <c r="A916" s="70"/>
      <c r="B916" s="70"/>
      <c r="D916" s="2"/>
    </row>
    <row r="917">
      <c r="A917" s="70"/>
      <c r="B917" s="70"/>
      <c r="D917" s="2"/>
    </row>
    <row r="918">
      <c r="A918" s="70"/>
      <c r="B918" s="70"/>
      <c r="D918" s="2"/>
    </row>
    <row r="919">
      <c r="A919" s="70"/>
      <c r="B919" s="70"/>
      <c r="D919" s="2"/>
    </row>
    <row r="920">
      <c r="A920" s="70"/>
      <c r="B920" s="70"/>
      <c r="D920" s="2"/>
    </row>
    <row r="921">
      <c r="A921" s="70"/>
      <c r="B921" s="70"/>
      <c r="D921" s="2"/>
    </row>
    <row r="922">
      <c r="A922" s="70"/>
      <c r="B922" s="70"/>
      <c r="D922" s="2"/>
    </row>
    <row r="923">
      <c r="A923" s="70"/>
      <c r="B923" s="70"/>
      <c r="D923" s="2"/>
    </row>
    <row r="924">
      <c r="A924" s="70"/>
      <c r="B924" s="70"/>
      <c r="D924" s="2"/>
    </row>
    <row r="925">
      <c r="A925" s="70"/>
      <c r="B925" s="70"/>
      <c r="D925" s="2"/>
    </row>
    <row r="926">
      <c r="A926" s="70"/>
      <c r="B926" s="70"/>
      <c r="D926" s="2"/>
    </row>
    <row r="927">
      <c r="A927" s="70"/>
      <c r="B927" s="70"/>
      <c r="D927" s="2"/>
    </row>
    <row r="928">
      <c r="A928" s="70"/>
      <c r="B928" s="70"/>
      <c r="D928" s="2"/>
    </row>
    <row r="929">
      <c r="A929" s="70"/>
      <c r="B929" s="70"/>
      <c r="D929" s="2"/>
    </row>
    <row r="930">
      <c r="A930" s="70"/>
      <c r="B930" s="70"/>
      <c r="D930" s="2"/>
    </row>
    <row r="931">
      <c r="A931" s="70"/>
      <c r="B931" s="70"/>
      <c r="D931" s="2"/>
    </row>
    <row r="932">
      <c r="A932" s="70"/>
      <c r="B932" s="70"/>
      <c r="D932" s="2"/>
    </row>
    <row r="933">
      <c r="A933" s="70"/>
      <c r="B933" s="70"/>
      <c r="D933" s="2"/>
    </row>
    <row r="934">
      <c r="A934" s="70"/>
      <c r="B934" s="70"/>
      <c r="D934" s="2"/>
    </row>
    <row r="935">
      <c r="A935" s="70"/>
      <c r="B935" s="70"/>
      <c r="D935" s="2"/>
    </row>
    <row r="936">
      <c r="A936" s="70"/>
      <c r="B936" s="70"/>
      <c r="D936" s="2"/>
    </row>
    <row r="937">
      <c r="A937" s="70"/>
      <c r="B937" s="70"/>
      <c r="D937" s="2"/>
    </row>
    <row r="938">
      <c r="A938" s="70"/>
      <c r="B938" s="70"/>
      <c r="D938" s="2"/>
    </row>
    <row r="939">
      <c r="A939" s="70"/>
      <c r="B939" s="70"/>
      <c r="D939" s="2"/>
    </row>
    <row r="940">
      <c r="A940" s="70"/>
      <c r="B940" s="70"/>
      <c r="D940" s="2"/>
    </row>
    <row r="941">
      <c r="A941" s="70"/>
      <c r="B941" s="70"/>
      <c r="D941" s="2"/>
    </row>
    <row r="942">
      <c r="A942" s="70"/>
      <c r="B942" s="70"/>
      <c r="D942" s="2"/>
    </row>
    <row r="943">
      <c r="A943" s="70"/>
      <c r="B943" s="70"/>
      <c r="D943" s="2"/>
    </row>
    <row r="944">
      <c r="A944" s="70"/>
      <c r="B944" s="70"/>
      <c r="D944" s="2"/>
    </row>
    <row r="945">
      <c r="A945" s="70"/>
      <c r="B945" s="70"/>
      <c r="D945" s="2"/>
    </row>
    <row r="946">
      <c r="A946" s="70"/>
      <c r="B946" s="70"/>
      <c r="D946" s="2"/>
    </row>
    <row r="947">
      <c r="A947" s="70"/>
      <c r="B947" s="70"/>
      <c r="D947" s="2"/>
    </row>
    <row r="948">
      <c r="A948" s="70"/>
      <c r="B948" s="70"/>
      <c r="D948" s="2"/>
    </row>
    <row r="949">
      <c r="A949" s="70"/>
      <c r="B949" s="70"/>
      <c r="D949" s="2"/>
    </row>
    <row r="950">
      <c r="A950" s="70"/>
      <c r="B950" s="70"/>
      <c r="D950" s="2"/>
    </row>
    <row r="951">
      <c r="A951" s="70"/>
      <c r="B951" s="70"/>
      <c r="D951" s="2"/>
    </row>
    <row r="952">
      <c r="A952" s="70"/>
      <c r="B952" s="70"/>
      <c r="D952" s="2"/>
    </row>
    <row r="953">
      <c r="A953" s="70"/>
      <c r="B953" s="70"/>
      <c r="D953" s="2"/>
    </row>
    <row r="954">
      <c r="A954" s="70"/>
      <c r="B954" s="70"/>
      <c r="D954" s="2"/>
    </row>
    <row r="955">
      <c r="A955" s="70"/>
      <c r="B955" s="70"/>
      <c r="D955" s="2"/>
    </row>
    <row r="956">
      <c r="A956" s="70"/>
      <c r="B956" s="70"/>
      <c r="D956" s="2"/>
    </row>
    <row r="957">
      <c r="A957" s="70"/>
      <c r="B957" s="70"/>
      <c r="D957" s="2"/>
    </row>
    <row r="958">
      <c r="A958" s="70"/>
      <c r="B958" s="70"/>
      <c r="D958" s="2"/>
    </row>
    <row r="959">
      <c r="A959" s="70"/>
      <c r="B959" s="70"/>
      <c r="D959" s="2"/>
    </row>
    <row r="960">
      <c r="A960" s="70"/>
      <c r="B960" s="70"/>
      <c r="D960" s="2"/>
    </row>
    <row r="961">
      <c r="A961" s="70"/>
      <c r="B961" s="70"/>
      <c r="D961" s="2"/>
    </row>
    <row r="962">
      <c r="A962" s="70"/>
      <c r="B962" s="70"/>
      <c r="D962" s="2"/>
    </row>
    <row r="963">
      <c r="A963" s="70"/>
      <c r="B963" s="70"/>
      <c r="D963" s="2"/>
    </row>
    <row r="964">
      <c r="A964" s="70"/>
      <c r="B964" s="70"/>
      <c r="D964" s="2"/>
    </row>
    <row r="965">
      <c r="A965" s="70"/>
      <c r="B965" s="70"/>
      <c r="D965" s="2"/>
    </row>
    <row r="966">
      <c r="A966" s="70"/>
      <c r="B966" s="70"/>
      <c r="D966" s="2"/>
    </row>
    <row r="967">
      <c r="A967" s="70"/>
      <c r="B967" s="70"/>
      <c r="D967" s="2"/>
    </row>
    <row r="968">
      <c r="A968" s="70"/>
      <c r="B968" s="70"/>
      <c r="D968" s="2"/>
    </row>
    <row r="969">
      <c r="A969" s="70"/>
      <c r="B969" s="70"/>
      <c r="D969" s="2"/>
    </row>
    <row r="970">
      <c r="A970" s="70"/>
      <c r="B970" s="70"/>
      <c r="D970" s="2"/>
    </row>
    <row r="971">
      <c r="A971" s="70"/>
      <c r="B971" s="70"/>
      <c r="D971" s="2"/>
    </row>
    <row r="972">
      <c r="A972" s="70"/>
      <c r="B972" s="70"/>
      <c r="D972" s="2"/>
    </row>
    <row r="973">
      <c r="A973" s="70"/>
      <c r="B973" s="70"/>
      <c r="D973" s="2"/>
    </row>
    <row r="974">
      <c r="A974" s="70"/>
      <c r="B974" s="70"/>
      <c r="D974" s="2"/>
    </row>
    <row r="975">
      <c r="A975" s="70"/>
      <c r="B975" s="70"/>
      <c r="D975" s="2"/>
    </row>
    <row r="976">
      <c r="A976" s="70"/>
      <c r="B976" s="70"/>
      <c r="D976" s="2"/>
    </row>
    <row r="977">
      <c r="A977" s="70"/>
      <c r="B977" s="70"/>
      <c r="D977" s="2"/>
    </row>
    <row r="978">
      <c r="A978" s="70"/>
      <c r="B978" s="70"/>
      <c r="D978" s="2"/>
    </row>
    <row r="979">
      <c r="A979" s="70"/>
      <c r="B979" s="70"/>
      <c r="D979" s="2"/>
    </row>
    <row r="980">
      <c r="A980" s="70"/>
      <c r="B980" s="70"/>
      <c r="D980" s="2"/>
    </row>
    <row r="981">
      <c r="A981" s="70"/>
      <c r="B981" s="70"/>
      <c r="D981" s="2"/>
    </row>
    <row r="982">
      <c r="A982" s="70"/>
      <c r="B982" s="70"/>
      <c r="D982" s="2"/>
    </row>
    <row r="983">
      <c r="A983" s="70"/>
      <c r="B983" s="70"/>
      <c r="D983" s="2"/>
    </row>
    <row r="984">
      <c r="A984" s="70"/>
      <c r="B984" s="70"/>
      <c r="D984" s="2"/>
    </row>
    <row r="985">
      <c r="A985" s="70"/>
      <c r="B985" s="70"/>
      <c r="D985" s="2"/>
    </row>
    <row r="986">
      <c r="A986" s="70"/>
      <c r="B986" s="70"/>
      <c r="D986" s="2"/>
    </row>
    <row r="987">
      <c r="A987" s="70"/>
      <c r="B987" s="70"/>
      <c r="D987" s="2"/>
    </row>
    <row r="988">
      <c r="A988" s="70"/>
      <c r="B988" s="70"/>
      <c r="D988" s="2"/>
    </row>
    <row r="989">
      <c r="A989" s="70"/>
      <c r="B989" s="70"/>
      <c r="D989" s="2"/>
    </row>
    <row r="990">
      <c r="A990" s="70"/>
      <c r="B990" s="70"/>
      <c r="D990" s="2"/>
    </row>
    <row r="991">
      <c r="A991" s="70"/>
      <c r="B991" s="70"/>
      <c r="D991" s="2"/>
    </row>
    <row r="992">
      <c r="D992" s="2"/>
    </row>
    <row r="993">
      <c r="D993" s="2"/>
    </row>
    <row r="994">
      <c r="D994" s="2"/>
    </row>
    <row r="995">
      <c r="D995" s="2"/>
    </row>
    <row r="996">
      <c r="D996" s="2"/>
    </row>
    <row r="997">
      <c r="D997" s="2"/>
    </row>
  </sheetData>
  <printOptions gridLines="1" horizontalCentered="1"/>
  <pageMargins bottom="0.75" footer="0.0" header="0.0" left="0.7" right="0.7" top="0.75"/>
  <pageSetup cellComments="atEnd" orientation="landscape" pageOrder="overThenDown"/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63"/>
    <col customWidth="1" min="3" max="3" width="30.88"/>
    <col customWidth="1" min="8" max="8" width="14.75"/>
    <col customWidth="1" min="10" max="10" width="16.0"/>
  </cols>
  <sheetData>
    <row r="1">
      <c r="A1" s="71" t="s">
        <v>60</v>
      </c>
      <c r="B1" s="72" t="s">
        <v>249</v>
      </c>
      <c r="C1" s="73" t="s">
        <v>250</v>
      </c>
      <c r="D1" s="74" t="s">
        <v>48</v>
      </c>
      <c r="F1" s="4" t="s">
        <v>15</v>
      </c>
      <c r="G1" s="75">
        <f>sum(D2:D100006)</f>
        <v>218654.18</v>
      </c>
    </row>
    <row r="2">
      <c r="A2" s="65">
        <v>45390.0</v>
      </c>
      <c r="B2" s="5" t="s">
        <v>251</v>
      </c>
      <c r="C2" s="76" t="s">
        <v>252</v>
      </c>
      <c r="D2" s="77">
        <v>130.0</v>
      </c>
      <c r="E2" s="9"/>
      <c r="F2" s="9"/>
    </row>
    <row r="3">
      <c r="A3" s="65">
        <v>45390.0</v>
      </c>
      <c r="B3" s="5" t="s">
        <v>253</v>
      </c>
      <c r="C3" s="76" t="s">
        <v>254</v>
      </c>
      <c r="D3" s="77">
        <v>150.0</v>
      </c>
      <c r="E3" s="9"/>
      <c r="F3" s="9"/>
    </row>
    <row r="4">
      <c r="A4" s="65">
        <v>45390.0</v>
      </c>
      <c r="B4" s="5" t="s">
        <v>255</v>
      </c>
      <c r="C4" s="76" t="s">
        <v>256</v>
      </c>
      <c r="D4" s="77">
        <v>130.0</v>
      </c>
      <c r="E4" s="9"/>
      <c r="F4" s="9"/>
    </row>
    <row r="5">
      <c r="A5" s="65">
        <v>45404.0</v>
      </c>
      <c r="B5" s="5" t="s">
        <v>257</v>
      </c>
      <c r="C5" s="76" t="s">
        <v>254</v>
      </c>
      <c r="D5" s="77">
        <v>250.0</v>
      </c>
      <c r="E5" s="9"/>
      <c r="F5" s="9"/>
    </row>
    <row r="6">
      <c r="A6" s="65">
        <v>45420.0</v>
      </c>
      <c r="B6" s="5" t="s">
        <v>258</v>
      </c>
      <c r="C6" s="76" t="s">
        <v>140</v>
      </c>
      <c r="D6" s="77">
        <v>1025.0</v>
      </c>
      <c r="E6" s="9"/>
      <c r="F6" s="9"/>
    </row>
    <row r="7">
      <c r="A7" s="61">
        <v>45492.0</v>
      </c>
      <c r="B7" s="4" t="s">
        <v>259</v>
      </c>
      <c r="C7" s="76" t="s">
        <v>254</v>
      </c>
      <c r="D7" s="78">
        <v>200.0</v>
      </c>
    </row>
    <row r="8">
      <c r="A8" s="79">
        <v>45502.0</v>
      </c>
      <c r="B8" s="4" t="s">
        <v>260</v>
      </c>
      <c r="C8" s="4" t="s">
        <v>261</v>
      </c>
      <c r="D8" s="12">
        <v>193.0</v>
      </c>
    </row>
    <row r="9">
      <c r="A9" s="79">
        <v>45530.0</v>
      </c>
      <c r="B9" s="4" t="s">
        <v>262</v>
      </c>
      <c r="C9" s="4" t="s">
        <v>261</v>
      </c>
      <c r="D9" s="12">
        <v>151.19</v>
      </c>
    </row>
    <row r="10">
      <c r="A10" s="79">
        <v>45530.0</v>
      </c>
      <c r="B10" s="4" t="s">
        <v>263</v>
      </c>
      <c r="C10" s="4" t="s">
        <v>264</v>
      </c>
      <c r="D10" s="12">
        <v>310.0</v>
      </c>
    </row>
    <row r="11">
      <c r="A11" s="79">
        <v>45530.0</v>
      </c>
      <c r="B11" s="4" t="s">
        <v>265</v>
      </c>
      <c r="C11" s="4" t="s">
        <v>266</v>
      </c>
      <c r="D11" s="12">
        <v>465.0</v>
      </c>
    </row>
    <row r="12">
      <c r="A12" s="79">
        <v>45530.0</v>
      </c>
      <c r="B12" s="4" t="s">
        <v>267</v>
      </c>
      <c r="C12" s="4" t="s">
        <v>261</v>
      </c>
      <c r="D12" s="12">
        <v>545.0</v>
      </c>
    </row>
    <row r="13">
      <c r="A13" s="79">
        <v>45530.0</v>
      </c>
      <c r="B13" s="4" t="s">
        <v>268</v>
      </c>
      <c r="C13" s="4" t="s">
        <v>269</v>
      </c>
      <c r="D13" s="12">
        <v>740.0</v>
      </c>
    </row>
    <row r="14">
      <c r="A14" s="79">
        <v>46261.0</v>
      </c>
      <c r="B14" s="4" t="s">
        <v>270</v>
      </c>
      <c r="C14" s="4" t="s">
        <v>271</v>
      </c>
      <c r="D14" s="12">
        <v>540.0</v>
      </c>
    </row>
    <row r="15">
      <c r="A15" s="79">
        <v>45531.0</v>
      </c>
      <c r="B15" s="4" t="s">
        <v>272</v>
      </c>
      <c r="C15" s="4" t="s">
        <v>273</v>
      </c>
      <c r="D15" s="12">
        <v>580.0</v>
      </c>
    </row>
    <row r="16">
      <c r="A16" s="79">
        <v>45532.0</v>
      </c>
      <c r="B16" s="4" t="s">
        <v>274</v>
      </c>
      <c r="C16" s="4" t="s">
        <v>110</v>
      </c>
      <c r="D16" s="12">
        <v>1050.0</v>
      </c>
    </row>
    <row r="17">
      <c r="A17" s="79">
        <v>45538.0</v>
      </c>
      <c r="B17" s="4" t="s">
        <v>275</v>
      </c>
      <c r="C17" s="4" t="s">
        <v>276</v>
      </c>
      <c r="D17" s="12">
        <v>270.0</v>
      </c>
    </row>
    <row r="18">
      <c r="A18" s="79">
        <v>45544.0</v>
      </c>
      <c r="B18" s="4" t="s">
        <v>277</v>
      </c>
      <c r="C18" s="4" t="s">
        <v>261</v>
      </c>
      <c r="D18" s="12">
        <v>497.0</v>
      </c>
    </row>
    <row r="19">
      <c r="A19" s="79">
        <v>45544.0</v>
      </c>
      <c r="B19" s="4" t="s">
        <v>278</v>
      </c>
      <c r="C19" s="4" t="s">
        <v>279</v>
      </c>
      <c r="D19" s="12">
        <v>801.0</v>
      </c>
    </row>
    <row r="20">
      <c r="A20" s="79">
        <v>45544.0</v>
      </c>
      <c r="B20" s="4" t="s">
        <v>280</v>
      </c>
      <c r="C20" s="4" t="s">
        <v>264</v>
      </c>
      <c r="D20" s="12">
        <v>810.0</v>
      </c>
    </row>
    <row r="21">
      <c r="A21" s="79">
        <v>45544.0</v>
      </c>
      <c r="B21" s="4" t="s">
        <v>281</v>
      </c>
      <c r="C21" s="4" t="s">
        <v>276</v>
      </c>
      <c r="D21" s="12">
        <v>930.0</v>
      </c>
    </row>
    <row r="22">
      <c r="A22" s="79">
        <v>45545.0</v>
      </c>
      <c r="B22" s="4" t="s">
        <v>282</v>
      </c>
      <c r="C22" s="4" t="s">
        <v>266</v>
      </c>
      <c r="D22" s="12">
        <v>558.0</v>
      </c>
    </row>
    <row r="23">
      <c r="A23" s="79">
        <v>45545.0</v>
      </c>
      <c r="B23" s="4" t="s">
        <v>283</v>
      </c>
      <c r="C23" s="4" t="s">
        <v>269</v>
      </c>
      <c r="D23" s="12">
        <v>1110.0</v>
      </c>
    </row>
    <row r="24">
      <c r="A24" s="79">
        <v>45546.0</v>
      </c>
      <c r="B24" s="4" t="s">
        <v>284</v>
      </c>
      <c r="C24" s="4" t="s">
        <v>285</v>
      </c>
      <c r="D24" s="12">
        <v>595.0</v>
      </c>
    </row>
    <row r="25">
      <c r="A25" s="79">
        <v>45558.0</v>
      </c>
      <c r="B25" s="4" t="s">
        <v>286</v>
      </c>
      <c r="C25" s="4" t="s">
        <v>261</v>
      </c>
      <c r="D25" s="12">
        <v>255.0</v>
      </c>
    </row>
    <row r="26">
      <c r="A26" s="79">
        <v>45558.0</v>
      </c>
      <c r="B26" s="4" t="s">
        <v>287</v>
      </c>
      <c r="C26" s="4" t="s">
        <v>279</v>
      </c>
      <c r="D26" s="12">
        <v>279.0</v>
      </c>
    </row>
    <row r="27">
      <c r="A27" s="79">
        <v>45558.0</v>
      </c>
      <c r="B27" s="4" t="s">
        <v>288</v>
      </c>
      <c r="C27" s="4" t="s">
        <v>285</v>
      </c>
      <c r="D27" s="12">
        <v>405.0</v>
      </c>
    </row>
    <row r="28">
      <c r="A28" s="79">
        <v>45565.0</v>
      </c>
      <c r="B28" s="4" t="s">
        <v>289</v>
      </c>
      <c r="C28" s="4" t="s">
        <v>290</v>
      </c>
      <c r="D28" s="12">
        <v>600.0</v>
      </c>
    </row>
    <row r="29">
      <c r="A29" s="79">
        <v>45572.0</v>
      </c>
      <c r="B29" s="4" t="s">
        <v>291</v>
      </c>
      <c r="C29" s="4" t="s">
        <v>276</v>
      </c>
      <c r="D29" s="12">
        <v>203.0</v>
      </c>
    </row>
    <row r="30">
      <c r="A30" s="79">
        <v>45572.0</v>
      </c>
      <c r="B30" s="4" t="s">
        <v>292</v>
      </c>
      <c r="C30" s="4" t="s">
        <v>261</v>
      </c>
      <c r="D30" s="12">
        <v>465.0</v>
      </c>
    </row>
    <row r="31">
      <c r="A31" s="79">
        <v>45572.0</v>
      </c>
      <c r="B31" s="4" t="s">
        <v>293</v>
      </c>
      <c r="C31" s="4" t="s">
        <v>264</v>
      </c>
      <c r="D31" s="12">
        <v>465.0</v>
      </c>
    </row>
    <row r="32">
      <c r="A32" s="79">
        <v>45573.0</v>
      </c>
      <c r="B32" s="4" t="s">
        <v>294</v>
      </c>
      <c r="C32" s="4" t="s">
        <v>279</v>
      </c>
      <c r="D32" s="12">
        <v>435.0</v>
      </c>
    </row>
    <row r="33">
      <c r="A33" s="79">
        <v>45574.0</v>
      </c>
      <c r="B33" s="4" t="s">
        <v>295</v>
      </c>
      <c r="C33" s="4" t="s">
        <v>160</v>
      </c>
      <c r="D33" s="12">
        <v>290.0</v>
      </c>
    </row>
    <row r="34">
      <c r="A34" s="68">
        <v>45575.0</v>
      </c>
      <c r="B34" s="4" t="s">
        <v>296</v>
      </c>
      <c r="C34" s="4" t="s">
        <v>110</v>
      </c>
      <c r="D34" s="12">
        <v>860.0</v>
      </c>
    </row>
    <row r="35">
      <c r="A35" s="68">
        <v>45580.0</v>
      </c>
      <c r="B35" s="4" t="s">
        <v>297</v>
      </c>
      <c r="C35" s="4" t="s">
        <v>266</v>
      </c>
      <c r="D35" s="12">
        <v>422.0</v>
      </c>
    </row>
    <row r="36">
      <c r="A36" s="68">
        <v>45586.0</v>
      </c>
      <c r="B36" s="4" t="s">
        <v>298</v>
      </c>
      <c r="C36" s="4" t="s">
        <v>276</v>
      </c>
      <c r="D36" s="12">
        <v>270.0</v>
      </c>
    </row>
    <row r="37">
      <c r="A37" s="68">
        <v>45586.0</v>
      </c>
      <c r="B37" s="4" t="s">
        <v>299</v>
      </c>
      <c r="C37" s="4" t="s">
        <v>300</v>
      </c>
      <c r="D37" s="12">
        <v>270.0</v>
      </c>
    </row>
    <row r="38">
      <c r="A38" s="68">
        <v>45586.0</v>
      </c>
      <c r="B38" s="4" t="s">
        <v>301</v>
      </c>
      <c r="C38" s="4" t="s">
        <v>279</v>
      </c>
      <c r="D38" s="12">
        <v>310.0</v>
      </c>
    </row>
    <row r="39">
      <c r="A39" s="68">
        <v>45586.0</v>
      </c>
      <c r="B39" s="4" t="s">
        <v>302</v>
      </c>
      <c r="C39" s="4" t="s">
        <v>261</v>
      </c>
      <c r="D39" s="12">
        <v>370.0</v>
      </c>
    </row>
    <row r="40">
      <c r="A40" s="68">
        <v>45586.0</v>
      </c>
      <c r="B40" s="4" t="s">
        <v>303</v>
      </c>
      <c r="C40" s="4" t="s">
        <v>160</v>
      </c>
      <c r="D40" s="12">
        <v>465.0</v>
      </c>
    </row>
    <row r="41">
      <c r="A41" s="68">
        <v>45587.0</v>
      </c>
      <c r="B41" s="4" t="s">
        <v>304</v>
      </c>
      <c r="C41" s="4" t="s">
        <v>264</v>
      </c>
      <c r="D41" s="12">
        <v>640.0</v>
      </c>
    </row>
    <row r="42">
      <c r="A42" s="68">
        <v>45588.0</v>
      </c>
      <c r="B42" s="4" t="s">
        <v>305</v>
      </c>
      <c r="C42" s="4" t="s">
        <v>306</v>
      </c>
      <c r="D42" s="12">
        <v>155.0</v>
      </c>
    </row>
    <row r="43">
      <c r="A43" s="68">
        <v>45593.0</v>
      </c>
      <c r="B43" s="4" t="s">
        <v>307</v>
      </c>
      <c r="C43" s="4" t="s">
        <v>266</v>
      </c>
      <c r="D43" s="12">
        <v>287.0</v>
      </c>
    </row>
    <row r="44">
      <c r="A44" s="79">
        <v>45596.0</v>
      </c>
      <c r="B44" s="4" t="s">
        <v>308</v>
      </c>
      <c r="C44" s="4" t="s">
        <v>309</v>
      </c>
      <c r="D44" s="12">
        <v>300.0</v>
      </c>
    </row>
    <row r="45">
      <c r="A45" s="79">
        <v>45600.0</v>
      </c>
      <c r="B45" s="4" t="s">
        <v>310</v>
      </c>
      <c r="C45" s="4" t="s">
        <v>160</v>
      </c>
      <c r="D45" s="12">
        <v>140.0</v>
      </c>
    </row>
    <row r="46">
      <c r="A46" s="79">
        <v>45600.0</v>
      </c>
      <c r="B46" s="4" t="s">
        <v>311</v>
      </c>
      <c r="C46" s="4" t="s">
        <v>276</v>
      </c>
      <c r="D46" s="12">
        <v>675.0</v>
      </c>
    </row>
    <row r="47">
      <c r="A47" s="79">
        <v>45600.0</v>
      </c>
      <c r="B47" s="4" t="s">
        <v>312</v>
      </c>
      <c r="C47" s="4" t="s">
        <v>313</v>
      </c>
      <c r="D47" s="12">
        <v>675.0</v>
      </c>
    </row>
    <row r="48">
      <c r="A48" s="79">
        <v>45600.0</v>
      </c>
      <c r="B48" s="4" t="s">
        <v>314</v>
      </c>
      <c r="C48" s="4" t="s">
        <v>261</v>
      </c>
      <c r="D48" s="12">
        <v>775.0</v>
      </c>
    </row>
    <row r="49">
      <c r="A49" s="79">
        <v>45600.0</v>
      </c>
      <c r="B49" s="4" t="s">
        <v>315</v>
      </c>
      <c r="C49" s="4" t="s">
        <v>266</v>
      </c>
      <c r="D49" s="12">
        <v>1228.0</v>
      </c>
    </row>
    <row r="50">
      <c r="A50" s="79">
        <v>45600.0</v>
      </c>
      <c r="B50" s="4" t="s">
        <v>316</v>
      </c>
      <c r="C50" s="4" t="s">
        <v>264</v>
      </c>
      <c r="D50" s="12">
        <v>1590.0</v>
      </c>
    </row>
    <row r="51">
      <c r="A51" s="79">
        <v>45601.0</v>
      </c>
      <c r="B51" s="4" t="s">
        <v>317</v>
      </c>
      <c r="C51" s="4" t="s">
        <v>279</v>
      </c>
      <c r="D51" s="12">
        <v>1212.0</v>
      </c>
    </row>
    <row r="52">
      <c r="A52" s="79">
        <v>45601.0</v>
      </c>
      <c r="B52" s="4" t="s">
        <v>318</v>
      </c>
      <c r="C52" s="4" t="s">
        <v>306</v>
      </c>
      <c r="D52" s="12">
        <v>1705.0</v>
      </c>
    </row>
    <row r="53">
      <c r="A53" s="68">
        <v>45614.0</v>
      </c>
      <c r="B53" s="4" t="s">
        <v>319</v>
      </c>
      <c r="C53" s="4" t="s">
        <v>264</v>
      </c>
      <c r="D53" s="12">
        <v>500.0</v>
      </c>
    </row>
    <row r="54">
      <c r="A54" s="68">
        <v>45614.0</v>
      </c>
      <c r="B54" s="4" t="s">
        <v>320</v>
      </c>
      <c r="C54" s="4" t="s">
        <v>276</v>
      </c>
      <c r="D54" s="12">
        <v>540.0</v>
      </c>
    </row>
    <row r="55">
      <c r="A55" s="68">
        <v>45614.0</v>
      </c>
      <c r="B55" s="4" t="s">
        <v>321</v>
      </c>
      <c r="C55" s="4" t="s">
        <v>306</v>
      </c>
      <c r="D55" s="12">
        <v>775.0</v>
      </c>
    </row>
    <row r="56">
      <c r="A56" s="68">
        <v>45614.0</v>
      </c>
      <c r="B56" s="4" t="s">
        <v>322</v>
      </c>
      <c r="C56" s="4" t="s">
        <v>266</v>
      </c>
      <c r="D56" s="12">
        <v>830.0</v>
      </c>
    </row>
    <row r="57">
      <c r="A57" s="68">
        <v>45615.0</v>
      </c>
      <c r="B57" s="4" t="s">
        <v>323</v>
      </c>
      <c r="C57" s="4" t="s">
        <v>261</v>
      </c>
      <c r="D57" s="12">
        <v>485.0</v>
      </c>
    </row>
    <row r="58">
      <c r="A58" s="68">
        <v>45615.0</v>
      </c>
      <c r="B58" s="4" t="s">
        <v>324</v>
      </c>
      <c r="C58" s="4" t="s">
        <v>279</v>
      </c>
      <c r="D58" s="12">
        <v>620.0</v>
      </c>
      <c r="E58" s="4"/>
    </row>
    <row r="59">
      <c r="A59" s="68">
        <v>45615.0</v>
      </c>
      <c r="B59" s="4" t="s">
        <v>325</v>
      </c>
      <c r="C59" s="4" t="s">
        <v>313</v>
      </c>
      <c r="D59" s="12">
        <v>810.0</v>
      </c>
    </row>
    <row r="60">
      <c r="A60" s="68">
        <v>45621.0</v>
      </c>
      <c r="B60" s="4" t="s">
        <v>326</v>
      </c>
      <c r="C60" s="4" t="s">
        <v>290</v>
      </c>
      <c r="D60" s="12">
        <v>1000.0</v>
      </c>
    </row>
    <row r="61">
      <c r="A61" s="79">
        <v>45628.0</v>
      </c>
      <c r="B61" s="4" t="s">
        <v>327</v>
      </c>
      <c r="C61" s="4" t="s">
        <v>261</v>
      </c>
      <c r="D61" s="12">
        <v>235.0</v>
      </c>
    </row>
    <row r="62">
      <c r="A62" s="79">
        <v>45628.0</v>
      </c>
      <c r="B62" s="4" t="s">
        <v>328</v>
      </c>
      <c r="C62" s="4" t="s">
        <v>160</v>
      </c>
      <c r="D62" s="12">
        <v>295.0</v>
      </c>
    </row>
    <row r="63">
      <c r="A63" s="79">
        <v>45628.0</v>
      </c>
      <c r="B63" s="4" t="s">
        <v>329</v>
      </c>
      <c r="C63" s="4" t="s">
        <v>313</v>
      </c>
      <c r="D63" s="12">
        <v>420.0</v>
      </c>
    </row>
    <row r="64">
      <c r="A64" s="79">
        <v>45628.0</v>
      </c>
      <c r="B64" s="4" t="s">
        <v>330</v>
      </c>
      <c r="C64" s="4" t="s">
        <v>266</v>
      </c>
      <c r="D64" s="12">
        <v>630.0</v>
      </c>
    </row>
    <row r="65">
      <c r="A65" s="79">
        <v>45628.0</v>
      </c>
      <c r="B65" s="4" t="s">
        <v>331</v>
      </c>
      <c r="C65" s="4" t="s">
        <v>276</v>
      </c>
      <c r="D65" s="12">
        <v>675.0</v>
      </c>
    </row>
    <row r="66">
      <c r="A66" s="79">
        <v>45628.0</v>
      </c>
      <c r="B66" s="4" t="s">
        <v>332</v>
      </c>
      <c r="C66" s="4" t="s">
        <v>264</v>
      </c>
      <c r="D66" s="12">
        <v>960.0</v>
      </c>
    </row>
    <row r="67">
      <c r="A67" s="79">
        <v>45629.0</v>
      </c>
      <c r="B67" s="4" t="s">
        <v>333</v>
      </c>
      <c r="C67" s="4" t="s">
        <v>279</v>
      </c>
      <c r="D67" s="12">
        <v>620.0</v>
      </c>
    </row>
    <row r="68">
      <c r="A68" s="79">
        <v>45629.0</v>
      </c>
      <c r="B68" s="4" t="s">
        <v>334</v>
      </c>
      <c r="C68" s="4" t="s">
        <v>306</v>
      </c>
      <c r="D68" s="12">
        <v>775.0</v>
      </c>
    </row>
    <row r="69">
      <c r="A69" s="68">
        <v>45638.0</v>
      </c>
      <c r="B69" s="4" t="s">
        <v>335</v>
      </c>
      <c r="C69" s="4" t="s">
        <v>336</v>
      </c>
      <c r="D69" s="12">
        <v>1200.0</v>
      </c>
    </row>
    <row r="70">
      <c r="A70" s="68">
        <v>45642.0</v>
      </c>
      <c r="B70" s="4" t="s">
        <v>337</v>
      </c>
      <c r="C70" s="4" t="s">
        <v>160</v>
      </c>
      <c r="D70" s="12">
        <v>80.0</v>
      </c>
    </row>
    <row r="71">
      <c r="A71" s="68">
        <v>45642.0</v>
      </c>
      <c r="B71" s="4" t="s">
        <v>338</v>
      </c>
      <c r="C71" s="4" t="s">
        <v>339</v>
      </c>
      <c r="D71" s="12">
        <v>460.0</v>
      </c>
    </row>
    <row r="72">
      <c r="A72" s="68">
        <v>45642.0</v>
      </c>
      <c r="B72" s="4" t="s">
        <v>340</v>
      </c>
      <c r="C72" s="4" t="s">
        <v>276</v>
      </c>
      <c r="D72" s="12">
        <v>675.0</v>
      </c>
    </row>
    <row r="73">
      <c r="A73" s="68">
        <v>45642.0</v>
      </c>
      <c r="B73" s="4" t="s">
        <v>341</v>
      </c>
      <c r="C73" s="4" t="s">
        <v>342</v>
      </c>
      <c r="D73" s="12">
        <v>675.0</v>
      </c>
    </row>
    <row r="74">
      <c r="A74" s="68">
        <v>45643.0</v>
      </c>
      <c r="B74" s="4" t="s">
        <v>343</v>
      </c>
      <c r="C74" s="4" t="s">
        <v>344</v>
      </c>
      <c r="D74" s="12">
        <v>50.0</v>
      </c>
    </row>
    <row r="75">
      <c r="A75" s="68">
        <v>45643.0</v>
      </c>
      <c r="B75" s="4" t="s">
        <v>345</v>
      </c>
      <c r="C75" s="4" t="s">
        <v>269</v>
      </c>
      <c r="D75" s="12">
        <v>100.0</v>
      </c>
    </row>
    <row r="76">
      <c r="A76" s="68">
        <v>45643.0</v>
      </c>
      <c r="B76" s="4" t="s">
        <v>346</v>
      </c>
      <c r="C76" s="4" t="s">
        <v>347</v>
      </c>
      <c r="D76" s="12">
        <v>100.0</v>
      </c>
    </row>
    <row r="77">
      <c r="A77" s="68">
        <v>45643.0</v>
      </c>
      <c r="B77" s="4" t="s">
        <v>348</v>
      </c>
      <c r="C77" s="4" t="s">
        <v>266</v>
      </c>
      <c r="D77" s="12">
        <v>420.0</v>
      </c>
    </row>
    <row r="78">
      <c r="A78" s="68">
        <v>45643.0</v>
      </c>
      <c r="B78" s="4" t="s">
        <v>349</v>
      </c>
      <c r="C78" s="4" t="s">
        <v>264</v>
      </c>
      <c r="D78" s="12">
        <v>480.0</v>
      </c>
    </row>
    <row r="79">
      <c r="A79" s="68">
        <v>45643.0</v>
      </c>
      <c r="B79" s="4" t="s">
        <v>350</v>
      </c>
      <c r="C79" s="4" t="s">
        <v>306</v>
      </c>
      <c r="D79" s="12">
        <v>620.0</v>
      </c>
    </row>
    <row r="80">
      <c r="A80" s="68">
        <v>45643.0</v>
      </c>
      <c r="B80" s="4" t="s">
        <v>351</v>
      </c>
      <c r="C80" s="4" t="s">
        <v>279</v>
      </c>
      <c r="D80" s="12">
        <v>775.0</v>
      </c>
    </row>
    <row r="81">
      <c r="A81" s="68">
        <v>45644.0</v>
      </c>
      <c r="B81" s="4" t="s">
        <v>352</v>
      </c>
      <c r="C81" s="4" t="s">
        <v>353</v>
      </c>
      <c r="D81" s="12">
        <v>405.0</v>
      </c>
    </row>
    <row r="82">
      <c r="A82" s="68">
        <v>45656.0</v>
      </c>
      <c r="B82" s="4" t="s">
        <v>354</v>
      </c>
      <c r="C82" s="4" t="s">
        <v>266</v>
      </c>
      <c r="D82" s="12">
        <v>140.0</v>
      </c>
    </row>
    <row r="83">
      <c r="A83" s="68">
        <v>45656.0</v>
      </c>
      <c r="B83" s="4" t="s">
        <v>355</v>
      </c>
      <c r="C83" s="4" t="s">
        <v>306</v>
      </c>
      <c r="D83" s="12">
        <v>155.0</v>
      </c>
    </row>
    <row r="84">
      <c r="A84" s="68">
        <v>45656.0</v>
      </c>
      <c r="B84" s="4" t="s">
        <v>356</v>
      </c>
      <c r="C84" s="4" t="s">
        <v>357</v>
      </c>
      <c r="D84" s="12">
        <v>270.0</v>
      </c>
    </row>
    <row r="85">
      <c r="A85" s="68">
        <v>45656.0</v>
      </c>
      <c r="B85" s="4" t="s">
        <v>358</v>
      </c>
      <c r="C85" s="4" t="s">
        <v>359</v>
      </c>
      <c r="D85" s="12">
        <v>350.0</v>
      </c>
    </row>
    <row r="86">
      <c r="A86" s="68">
        <v>45657.0</v>
      </c>
      <c r="B86" s="4" t="s">
        <v>360</v>
      </c>
      <c r="C86" s="4" t="s">
        <v>279</v>
      </c>
      <c r="D86" s="12">
        <v>145.0</v>
      </c>
    </row>
    <row r="87">
      <c r="A87" s="79">
        <v>45663.0</v>
      </c>
      <c r="B87" s="4" t="s">
        <v>361</v>
      </c>
      <c r="C87" s="4" t="s">
        <v>276</v>
      </c>
      <c r="D87" s="12">
        <v>135.0</v>
      </c>
    </row>
    <row r="88">
      <c r="A88" s="79">
        <v>45665.0</v>
      </c>
      <c r="B88" s="4" t="s">
        <v>362</v>
      </c>
      <c r="C88" s="4" t="s">
        <v>363</v>
      </c>
      <c r="D88" s="12">
        <v>100.0</v>
      </c>
    </row>
    <row r="89">
      <c r="A89" s="79">
        <v>45684.0</v>
      </c>
      <c r="B89" s="4" t="s">
        <v>364</v>
      </c>
      <c r="C89" s="4" t="s">
        <v>266</v>
      </c>
      <c r="D89" s="12">
        <v>135.0</v>
      </c>
    </row>
    <row r="90">
      <c r="A90" s="79">
        <v>45684.0</v>
      </c>
      <c r="B90" s="4" t="s">
        <v>365</v>
      </c>
      <c r="C90" s="4" t="s">
        <v>261</v>
      </c>
      <c r="D90" s="12">
        <v>465.0</v>
      </c>
    </row>
    <row r="91">
      <c r="A91" s="79">
        <v>45685.0</v>
      </c>
      <c r="B91" s="4" t="s">
        <v>366</v>
      </c>
      <c r="C91" s="4" t="s">
        <v>353</v>
      </c>
      <c r="D91" s="12">
        <v>310.0</v>
      </c>
    </row>
    <row r="92">
      <c r="A92" s="79">
        <v>45685.0</v>
      </c>
      <c r="B92" s="4" t="s">
        <v>367</v>
      </c>
      <c r="C92" s="4" t="s">
        <v>285</v>
      </c>
      <c r="D92" s="12">
        <v>435.0</v>
      </c>
    </row>
    <row r="93">
      <c r="A93" s="79">
        <v>45685.0</v>
      </c>
      <c r="B93" s="4" t="s">
        <v>368</v>
      </c>
      <c r="C93" s="4" t="s">
        <v>264</v>
      </c>
      <c r="D93" s="12">
        <v>1000.0</v>
      </c>
    </row>
    <row r="94">
      <c r="A94" s="79">
        <v>45686.0</v>
      </c>
      <c r="B94" s="4" t="s">
        <v>369</v>
      </c>
      <c r="C94" s="4" t="s">
        <v>370</v>
      </c>
      <c r="D94" s="12">
        <v>300.0</v>
      </c>
    </row>
    <row r="95">
      <c r="A95" s="79">
        <v>45698.0</v>
      </c>
      <c r="B95" s="4" t="s">
        <v>371</v>
      </c>
      <c r="C95" s="4" t="s">
        <v>372</v>
      </c>
      <c r="D95" s="12">
        <v>330.0</v>
      </c>
    </row>
    <row r="96">
      <c r="A96" s="79">
        <v>45698.0</v>
      </c>
      <c r="B96" s="4" t="s">
        <v>373</v>
      </c>
      <c r="C96" s="4" t="s">
        <v>261</v>
      </c>
      <c r="D96" s="12">
        <v>465.0</v>
      </c>
    </row>
    <row r="97">
      <c r="A97" s="79">
        <v>45698.0</v>
      </c>
      <c r="B97" s="4" t="s">
        <v>374</v>
      </c>
      <c r="C97" s="4" t="s">
        <v>357</v>
      </c>
      <c r="D97" s="12">
        <v>810.0</v>
      </c>
    </row>
    <row r="98">
      <c r="A98" s="79">
        <v>45698.0</v>
      </c>
      <c r="B98" s="4" t="s">
        <v>375</v>
      </c>
      <c r="C98" s="4" t="s">
        <v>306</v>
      </c>
      <c r="D98" s="12">
        <v>1085.0</v>
      </c>
    </row>
    <row r="99">
      <c r="A99" s="79">
        <v>45698.0</v>
      </c>
      <c r="B99" s="4" t="s">
        <v>376</v>
      </c>
      <c r="C99" s="4" t="s">
        <v>266</v>
      </c>
      <c r="D99" s="12">
        <v>1120.0</v>
      </c>
    </row>
    <row r="100">
      <c r="A100" s="79">
        <v>45699.0</v>
      </c>
      <c r="B100" s="4" t="s">
        <v>377</v>
      </c>
      <c r="C100" s="4" t="s">
        <v>378</v>
      </c>
      <c r="D100" s="12">
        <v>290.0</v>
      </c>
    </row>
    <row r="101">
      <c r="A101" s="79">
        <v>45699.0</v>
      </c>
      <c r="B101" s="4" t="s">
        <v>379</v>
      </c>
      <c r="C101" s="4" t="s">
        <v>380</v>
      </c>
      <c r="D101" s="12">
        <v>810.0</v>
      </c>
    </row>
    <row r="102">
      <c r="A102" s="79">
        <v>45699.0</v>
      </c>
      <c r="B102" s="4" t="s">
        <v>381</v>
      </c>
      <c r="C102" s="4" t="s">
        <v>382</v>
      </c>
      <c r="D102" s="12">
        <v>980.0</v>
      </c>
    </row>
    <row r="103">
      <c r="A103" s="79">
        <v>45699.0</v>
      </c>
      <c r="B103" s="4" t="s">
        <v>383</v>
      </c>
      <c r="C103" s="4" t="s">
        <v>384</v>
      </c>
      <c r="D103" s="12">
        <v>1015.0</v>
      </c>
    </row>
    <row r="104">
      <c r="A104" s="79">
        <v>45700.0</v>
      </c>
      <c r="B104" s="4" t="s">
        <v>385</v>
      </c>
      <c r="C104" s="4" t="s">
        <v>347</v>
      </c>
      <c r="D104" s="12">
        <v>100.0</v>
      </c>
    </row>
    <row r="105">
      <c r="A105" s="79">
        <v>45700.0</v>
      </c>
      <c r="B105" s="4" t="s">
        <v>386</v>
      </c>
      <c r="C105" s="4" t="s">
        <v>387</v>
      </c>
      <c r="D105" s="12">
        <v>910.0</v>
      </c>
    </row>
    <row r="106">
      <c r="A106" s="79">
        <v>45706.0</v>
      </c>
      <c r="B106" s="4" t="s">
        <v>388</v>
      </c>
      <c r="C106" s="4" t="s">
        <v>276</v>
      </c>
      <c r="D106" s="12">
        <v>810.0</v>
      </c>
    </row>
    <row r="107">
      <c r="A107" s="79">
        <v>45712.0</v>
      </c>
      <c r="B107" s="4" t="s">
        <v>389</v>
      </c>
      <c r="C107" s="4" t="s">
        <v>276</v>
      </c>
      <c r="D107" s="12">
        <v>270.0</v>
      </c>
    </row>
    <row r="108">
      <c r="A108" s="79">
        <v>45712.0</v>
      </c>
      <c r="B108" s="4" t="s">
        <v>390</v>
      </c>
      <c r="C108" s="4" t="s">
        <v>261</v>
      </c>
      <c r="D108" s="12">
        <v>465.0</v>
      </c>
    </row>
    <row r="109">
      <c r="A109" s="79">
        <v>45713.0</v>
      </c>
      <c r="B109" s="4" t="s">
        <v>391</v>
      </c>
      <c r="C109" s="4" t="s">
        <v>392</v>
      </c>
      <c r="D109" s="12">
        <v>135.0</v>
      </c>
    </row>
    <row r="110">
      <c r="A110" s="79">
        <v>45713.0</v>
      </c>
      <c r="B110" s="4" t="s">
        <v>393</v>
      </c>
      <c r="C110" s="4" t="s">
        <v>394</v>
      </c>
      <c r="D110" s="12">
        <v>145.0</v>
      </c>
    </row>
    <row r="111">
      <c r="A111" s="79">
        <v>45713.0</v>
      </c>
      <c r="B111" s="4" t="s">
        <v>395</v>
      </c>
      <c r="C111" s="4" t="s">
        <v>271</v>
      </c>
      <c r="D111" s="12">
        <v>420.0</v>
      </c>
    </row>
    <row r="112">
      <c r="A112" s="79">
        <v>45713.0</v>
      </c>
      <c r="B112" s="4" t="s">
        <v>396</v>
      </c>
      <c r="C112" s="4" t="s">
        <v>387</v>
      </c>
      <c r="D112" s="12">
        <v>450.0</v>
      </c>
    </row>
    <row r="113">
      <c r="A113" s="79">
        <v>45713.0</v>
      </c>
      <c r="B113" s="4" t="s">
        <v>397</v>
      </c>
      <c r="C113" s="4" t="s">
        <v>306</v>
      </c>
      <c r="D113" s="12">
        <v>1100.0</v>
      </c>
    </row>
    <row r="114">
      <c r="A114" s="79">
        <v>45714.0</v>
      </c>
      <c r="B114" s="4" t="s">
        <v>398</v>
      </c>
      <c r="C114" s="4" t="s">
        <v>399</v>
      </c>
      <c r="D114" s="12">
        <v>270.0</v>
      </c>
    </row>
    <row r="115">
      <c r="A115" s="79">
        <v>45719.0</v>
      </c>
      <c r="B115" s="4" t="s">
        <v>400</v>
      </c>
      <c r="C115" s="4" t="s">
        <v>401</v>
      </c>
      <c r="D115" s="12">
        <v>280.0</v>
      </c>
    </row>
    <row r="116">
      <c r="A116" s="79">
        <v>45726.0</v>
      </c>
      <c r="B116" s="4" t="s">
        <v>402</v>
      </c>
      <c r="C116" s="4" t="s">
        <v>306</v>
      </c>
      <c r="D116" s="12">
        <v>310.0</v>
      </c>
    </row>
    <row r="117">
      <c r="A117" s="79">
        <v>45726.0</v>
      </c>
      <c r="B117" s="4" t="s">
        <v>403</v>
      </c>
      <c r="C117" s="4" t="s">
        <v>404</v>
      </c>
      <c r="D117" s="12">
        <v>405.0</v>
      </c>
    </row>
    <row r="118">
      <c r="A118" s="79">
        <v>45726.0</v>
      </c>
      <c r="B118" s="4" t="s">
        <v>405</v>
      </c>
      <c r="C118" s="4" t="s">
        <v>387</v>
      </c>
      <c r="D118" s="12">
        <v>405.0</v>
      </c>
    </row>
    <row r="119">
      <c r="A119" s="79">
        <v>45726.0</v>
      </c>
      <c r="B119" s="4" t="s">
        <v>406</v>
      </c>
      <c r="C119" s="4" t="s">
        <v>271</v>
      </c>
      <c r="D119" s="12">
        <v>420.0</v>
      </c>
    </row>
    <row r="120">
      <c r="A120" s="79">
        <v>45726.0</v>
      </c>
      <c r="B120" s="4" t="s">
        <v>407</v>
      </c>
      <c r="C120" s="4" t="s">
        <v>394</v>
      </c>
      <c r="D120" s="12">
        <v>435.0</v>
      </c>
    </row>
    <row r="121">
      <c r="A121" s="79">
        <v>45726.0</v>
      </c>
      <c r="B121" s="4" t="s">
        <v>408</v>
      </c>
      <c r="C121" s="4" t="s">
        <v>357</v>
      </c>
      <c r="D121" s="12">
        <v>540.0</v>
      </c>
    </row>
    <row r="122">
      <c r="A122" s="79">
        <v>45726.0</v>
      </c>
      <c r="B122" s="4" t="s">
        <v>409</v>
      </c>
      <c r="C122" s="4" t="s">
        <v>160</v>
      </c>
      <c r="D122" s="12">
        <v>600.0</v>
      </c>
    </row>
    <row r="123">
      <c r="A123" s="79">
        <v>45726.0</v>
      </c>
      <c r="B123" s="4" t="s">
        <v>410</v>
      </c>
      <c r="C123" s="4" t="s">
        <v>372</v>
      </c>
      <c r="D123" s="12">
        <v>660.0</v>
      </c>
    </row>
    <row r="124">
      <c r="A124" s="79">
        <v>45726.0</v>
      </c>
      <c r="B124" s="4" t="s">
        <v>411</v>
      </c>
      <c r="C124" s="4" t="s">
        <v>261</v>
      </c>
      <c r="D124" s="12">
        <v>686.0</v>
      </c>
    </row>
    <row r="125">
      <c r="A125" s="79">
        <v>45728.0</v>
      </c>
      <c r="B125" s="4" t="s">
        <v>412</v>
      </c>
      <c r="C125" s="4" t="s">
        <v>378</v>
      </c>
      <c r="D125" s="12">
        <v>145.0</v>
      </c>
    </row>
    <row r="126">
      <c r="A126" s="79">
        <v>45733.0</v>
      </c>
      <c r="B126" s="4" t="s">
        <v>413</v>
      </c>
      <c r="C126" s="4" t="s">
        <v>276</v>
      </c>
      <c r="D126" s="12">
        <v>270.0</v>
      </c>
    </row>
    <row r="127">
      <c r="A127" s="79">
        <v>45740.0</v>
      </c>
      <c r="B127" s="4" t="s">
        <v>414</v>
      </c>
      <c r="C127" s="4" t="s">
        <v>261</v>
      </c>
      <c r="D127" s="12">
        <v>620.0</v>
      </c>
    </row>
    <row r="128">
      <c r="A128" s="79">
        <v>45740.0</v>
      </c>
      <c r="B128" s="4" t="s">
        <v>415</v>
      </c>
      <c r="C128" s="4" t="s">
        <v>357</v>
      </c>
      <c r="D128" s="12">
        <v>1215.0</v>
      </c>
    </row>
    <row r="129">
      <c r="A129" s="79">
        <v>45740.0</v>
      </c>
      <c r="B129" s="4" t="s">
        <v>416</v>
      </c>
      <c r="C129" s="4" t="s">
        <v>372</v>
      </c>
      <c r="D129" s="12">
        <v>1485.0</v>
      </c>
    </row>
    <row r="130">
      <c r="A130" s="79">
        <v>45740.0</v>
      </c>
      <c r="B130" s="4" t="s">
        <v>417</v>
      </c>
      <c r="C130" s="4" t="s">
        <v>160</v>
      </c>
      <c r="D130" s="12">
        <v>1500.0</v>
      </c>
    </row>
    <row r="131">
      <c r="A131" s="79">
        <v>45741.0</v>
      </c>
      <c r="B131" s="4" t="s">
        <v>418</v>
      </c>
      <c r="C131" s="4" t="s">
        <v>261</v>
      </c>
      <c r="D131" s="12">
        <v>155.0</v>
      </c>
    </row>
    <row r="132">
      <c r="A132" s="79">
        <v>45741.0</v>
      </c>
      <c r="B132" s="4" t="s">
        <v>419</v>
      </c>
      <c r="C132" s="4" t="s">
        <v>271</v>
      </c>
      <c r="D132" s="12">
        <v>1280.0</v>
      </c>
    </row>
    <row r="133">
      <c r="A133" s="79">
        <v>45741.0</v>
      </c>
      <c r="B133" s="4" t="s">
        <v>420</v>
      </c>
      <c r="C133" s="4" t="s">
        <v>404</v>
      </c>
      <c r="D133" s="12">
        <v>1370.0</v>
      </c>
    </row>
    <row r="134">
      <c r="A134" s="79">
        <v>45741.0</v>
      </c>
      <c r="B134" s="4" t="s">
        <v>421</v>
      </c>
      <c r="C134" s="4" t="s">
        <v>387</v>
      </c>
      <c r="D134" s="12">
        <v>1370.0</v>
      </c>
    </row>
    <row r="135">
      <c r="A135" s="79">
        <v>45741.0</v>
      </c>
      <c r="B135" s="4" t="s">
        <v>422</v>
      </c>
      <c r="C135" s="4" t="s">
        <v>306</v>
      </c>
      <c r="D135" s="12">
        <v>1415.0</v>
      </c>
    </row>
    <row r="136">
      <c r="A136" s="79">
        <v>45741.0</v>
      </c>
      <c r="B136" s="4" t="s">
        <v>423</v>
      </c>
      <c r="C136" s="4" t="s">
        <v>394</v>
      </c>
      <c r="D136" s="12">
        <v>1470.0</v>
      </c>
    </row>
    <row r="137">
      <c r="A137" s="79">
        <v>45742.0</v>
      </c>
      <c r="B137" s="4" t="s">
        <v>424</v>
      </c>
      <c r="C137" s="4" t="s">
        <v>276</v>
      </c>
      <c r="D137" s="12">
        <v>1215.0</v>
      </c>
    </row>
    <row r="138">
      <c r="A138" s="79">
        <v>45744.0</v>
      </c>
      <c r="B138" s="4" t="s">
        <v>425</v>
      </c>
      <c r="C138" s="4" t="s">
        <v>347</v>
      </c>
      <c r="D138" s="12">
        <v>101.0</v>
      </c>
    </row>
    <row r="139">
      <c r="A139" s="79">
        <v>45754.0</v>
      </c>
      <c r="B139" s="4" t="s">
        <v>426</v>
      </c>
      <c r="C139" s="4" t="s">
        <v>264</v>
      </c>
      <c r="D139" s="12">
        <v>300.0</v>
      </c>
    </row>
    <row r="140">
      <c r="A140" s="79">
        <v>45754.0</v>
      </c>
      <c r="B140" s="4" t="s">
        <v>427</v>
      </c>
      <c r="C140" s="4" t="s">
        <v>261</v>
      </c>
      <c r="D140" s="12">
        <v>620.0</v>
      </c>
    </row>
    <row r="141">
      <c r="A141" s="79">
        <v>45754.0</v>
      </c>
      <c r="B141" s="4" t="s">
        <v>428</v>
      </c>
      <c r="C141" s="4" t="s">
        <v>429</v>
      </c>
      <c r="D141" s="12">
        <v>1000.0</v>
      </c>
    </row>
    <row r="142">
      <c r="A142" s="79">
        <v>45754.0</v>
      </c>
      <c r="B142" s="4" t="s">
        <v>430</v>
      </c>
      <c r="C142" s="4" t="s">
        <v>276</v>
      </c>
      <c r="D142" s="12">
        <v>1215.0</v>
      </c>
    </row>
    <row r="143">
      <c r="A143" s="79">
        <v>45754.0</v>
      </c>
      <c r="B143" s="4" t="s">
        <v>431</v>
      </c>
      <c r="C143" s="4" t="s">
        <v>160</v>
      </c>
      <c r="D143" s="12">
        <v>1390.0</v>
      </c>
    </row>
    <row r="144">
      <c r="A144" s="79">
        <v>45755.0</v>
      </c>
      <c r="B144" s="4" t="s">
        <v>432</v>
      </c>
      <c r="C144" s="4" t="s">
        <v>387</v>
      </c>
      <c r="D144" s="12">
        <v>570.0</v>
      </c>
    </row>
    <row r="145">
      <c r="A145" s="79">
        <v>45755.0</v>
      </c>
      <c r="B145" s="4" t="s">
        <v>433</v>
      </c>
      <c r="C145" s="4" t="s">
        <v>271</v>
      </c>
      <c r="D145" s="12">
        <v>840.0</v>
      </c>
    </row>
    <row r="146">
      <c r="A146" s="79">
        <v>45755.0</v>
      </c>
      <c r="B146" s="4" t="s">
        <v>434</v>
      </c>
      <c r="C146" s="4" t="s">
        <v>394</v>
      </c>
      <c r="D146" s="12">
        <v>1045.0</v>
      </c>
    </row>
    <row r="147">
      <c r="A147" s="79">
        <v>45755.0</v>
      </c>
      <c r="B147" s="4" t="s">
        <v>435</v>
      </c>
      <c r="C147" s="4" t="s">
        <v>399</v>
      </c>
      <c r="D147" s="12">
        <v>1245.0</v>
      </c>
    </row>
    <row r="148">
      <c r="A148" s="79">
        <v>45755.0</v>
      </c>
      <c r="B148" s="4" t="s">
        <v>436</v>
      </c>
      <c r="C148" s="4" t="s">
        <v>372</v>
      </c>
      <c r="D148" s="12">
        <v>1320.0</v>
      </c>
    </row>
    <row r="149">
      <c r="A149" s="79">
        <v>45755.0</v>
      </c>
      <c r="B149" s="4" t="s">
        <v>437</v>
      </c>
      <c r="C149" s="4" t="s">
        <v>306</v>
      </c>
      <c r="D149" s="12">
        <v>1550.0</v>
      </c>
    </row>
    <row r="150">
      <c r="A150" s="79">
        <v>45761.0</v>
      </c>
      <c r="B150" s="4" t="s">
        <v>438</v>
      </c>
      <c r="C150" s="4" t="s">
        <v>357</v>
      </c>
      <c r="D150" s="12">
        <v>570.0</v>
      </c>
    </row>
    <row r="151">
      <c r="A151" s="79">
        <v>45764.0</v>
      </c>
      <c r="B151" s="4" t="s">
        <v>439</v>
      </c>
      <c r="C151" s="4" t="s">
        <v>90</v>
      </c>
      <c r="D151" s="12">
        <v>1250.0</v>
      </c>
    </row>
    <row r="152">
      <c r="A152" s="79">
        <v>45768.0</v>
      </c>
      <c r="B152" s="4" t="s">
        <v>440</v>
      </c>
      <c r="C152" s="4" t="s">
        <v>429</v>
      </c>
      <c r="D152" s="12">
        <v>250.0</v>
      </c>
    </row>
    <row r="153">
      <c r="A153" s="79">
        <v>45768.0</v>
      </c>
      <c r="B153" s="4" t="s">
        <v>441</v>
      </c>
      <c r="C153" s="4" t="s">
        <v>357</v>
      </c>
      <c r="D153" s="12">
        <v>540.0</v>
      </c>
    </row>
    <row r="154">
      <c r="A154" s="79">
        <v>45768.0</v>
      </c>
      <c r="B154" s="4" t="s">
        <v>442</v>
      </c>
      <c r="C154" s="4" t="s">
        <v>269</v>
      </c>
      <c r="D154" s="12">
        <v>555.0</v>
      </c>
    </row>
    <row r="155">
      <c r="A155" s="79">
        <v>45768.0</v>
      </c>
      <c r="B155" s="4" t="s">
        <v>443</v>
      </c>
      <c r="C155" s="4" t="s">
        <v>261</v>
      </c>
      <c r="D155" s="12">
        <v>620.0</v>
      </c>
    </row>
    <row r="156">
      <c r="A156" s="79">
        <v>45768.0</v>
      </c>
      <c r="B156" s="4" t="s">
        <v>444</v>
      </c>
      <c r="C156" s="4" t="s">
        <v>306</v>
      </c>
      <c r="D156" s="12">
        <v>1395.0</v>
      </c>
    </row>
    <row r="157">
      <c r="A157" s="79">
        <v>45768.0</v>
      </c>
      <c r="B157" s="4" t="s">
        <v>445</v>
      </c>
      <c r="C157" s="4" t="s">
        <v>160</v>
      </c>
      <c r="D157" s="12">
        <v>1500.0</v>
      </c>
    </row>
    <row r="158">
      <c r="A158" s="79">
        <v>45768.0</v>
      </c>
      <c r="B158" s="4" t="s">
        <v>446</v>
      </c>
      <c r="C158" s="4" t="s">
        <v>372</v>
      </c>
      <c r="D158" s="12">
        <v>1650.0</v>
      </c>
    </row>
    <row r="159">
      <c r="A159" s="79">
        <v>45769.0</v>
      </c>
      <c r="B159" s="4" t="s">
        <v>447</v>
      </c>
      <c r="C159" s="4" t="s">
        <v>387</v>
      </c>
      <c r="D159" s="12">
        <v>540.0</v>
      </c>
    </row>
    <row r="160">
      <c r="A160" s="79">
        <v>45769.0</v>
      </c>
      <c r="B160" s="4" t="s">
        <v>448</v>
      </c>
      <c r="C160" s="4" t="s">
        <v>276</v>
      </c>
      <c r="D160" s="12">
        <v>642.0</v>
      </c>
    </row>
    <row r="161">
      <c r="A161" s="79">
        <v>45769.0</v>
      </c>
      <c r="B161" s="4" t="s">
        <v>449</v>
      </c>
      <c r="C161" s="4" t="s">
        <v>384</v>
      </c>
      <c r="D161" s="12">
        <v>1015.0</v>
      </c>
    </row>
    <row r="162">
      <c r="A162" s="79">
        <v>45769.0</v>
      </c>
      <c r="B162" s="4" t="s">
        <v>450</v>
      </c>
      <c r="C162" s="4" t="s">
        <v>404</v>
      </c>
      <c r="D162" s="12">
        <v>1215.0</v>
      </c>
    </row>
    <row r="163">
      <c r="A163" s="79">
        <v>45770.0</v>
      </c>
      <c r="B163" s="4" t="s">
        <v>451</v>
      </c>
      <c r="C163" s="4" t="s">
        <v>378</v>
      </c>
      <c r="D163" s="12">
        <v>435.0</v>
      </c>
    </row>
    <row r="164">
      <c r="A164" s="79">
        <v>45770.0</v>
      </c>
      <c r="B164" s="4" t="s">
        <v>452</v>
      </c>
      <c r="C164" s="4" t="s">
        <v>271</v>
      </c>
      <c r="D164" s="12">
        <v>980.0</v>
      </c>
    </row>
    <row r="165">
      <c r="A165" s="79">
        <v>45782.0</v>
      </c>
      <c r="B165" s="4" t="s">
        <v>453</v>
      </c>
      <c r="C165" s="4" t="s">
        <v>176</v>
      </c>
      <c r="D165" s="12">
        <v>160.0</v>
      </c>
    </row>
    <row r="166">
      <c r="A166" s="79">
        <v>45782.0</v>
      </c>
      <c r="B166" s="4" t="s">
        <v>454</v>
      </c>
      <c r="C166" s="4" t="s">
        <v>160</v>
      </c>
      <c r="D166" s="12">
        <v>1050.0</v>
      </c>
    </row>
    <row r="167">
      <c r="A167" s="79">
        <v>45783.0</v>
      </c>
      <c r="B167" s="4" t="s">
        <v>455</v>
      </c>
      <c r="C167" s="4" t="s">
        <v>404</v>
      </c>
      <c r="D167" s="12">
        <v>140.0</v>
      </c>
    </row>
    <row r="168">
      <c r="A168" s="79">
        <v>45785.0</v>
      </c>
      <c r="B168" s="4" t="s">
        <v>456</v>
      </c>
      <c r="C168" s="4" t="s">
        <v>347</v>
      </c>
      <c r="D168" s="12">
        <v>203.0</v>
      </c>
    </row>
    <row r="169">
      <c r="A169" s="79">
        <v>45796.0</v>
      </c>
      <c r="B169" s="4" t="s">
        <v>457</v>
      </c>
      <c r="C169" s="4" t="s">
        <v>160</v>
      </c>
      <c r="D169" s="12">
        <v>150.0</v>
      </c>
    </row>
    <row r="170">
      <c r="A170" s="79">
        <v>45796.0</v>
      </c>
      <c r="B170" s="4" t="s">
        <v>458</v>
      </c>
      <c r="C170" s="4" t="s">
        <v>269</v>
      </c>
      <c r="D170" s="12">
        <v>185.0</v>
      </c>
    </row>
    <row r="171">
      <c r="A171" s="79">
        <v>45796.0</v>
      </c>
      <c r="B171" s="4" t="s">
        <v>459</v>
      </c>
      <c r="C171" s="4" t="s">
        <v>460</v>
      </c>
      <c r="D171" s="12">
        <v>218.0</v>
      </c>
    </row>
    <row r="172">
      <c r="A172" s="79">
        <v>45796.0</v>
      </c>
      <c r="B172" s="4" t="s">
        <v>461</v>
      </c>
      <c r="C172" s="4" t="s">
        <v>357</v>
      </c>
      <c r="D172" s="12">
        <v>560.0</v>
      </c>
    </row>
    <row r="173">
      <c r="A173" s="79">
        <v>45796.0</v>
      </c>
      <c r="B173" s="4" t="s">
        <v>462</v>
      </c>
      <c r="C173" s="4" t="s">
        <v>306</v>
      </c>
      <c r="D173" s="12">
        <v>620.0</v>
      </c>
    </row>
    <row r="174">
      <c r="A174" s="79">
        <v>45796.0</v>
      </c>
      <c r="B174" s="4" t="s">
        <v>463</v>
      </c>
      <c r="C174" s="4" t="s">
        <v>261</v>
      </c>
      <c r="D174" s="12">
        <v>660.0</v>
      </c>
    </row>
    <row r="175">
      <c r="A175" s="79">
        <v>45796.0</v>
      </c>
      <c r="B175" s="4" t="s">
        <v>464</v>
      </c>
      <c r="C175" s="4" t="s">
        <v>372</v>
      </c>
      <c r="D175" s="12">
        <v>660.0</v>
      </c>
    </row>
    <row r="176">
      <c r="A176" s="79">
        <v>45796.0</v>
      </c>
      <c r="B176" s="4" t="s">
        <v>465</v>
      </c>
      <c r="C176" s="4" t="s">
        <v>176</v>
      </c>
      <c r="D176" s="12">
        <v>800.0</v>
      </c>
    </row>
    <row r="177">
      <c r="A177" s="79">
        <v>45796.0</v>
      </c>
      <c r="B177" s="4" t="s">
        <v>466</v>
      </c>
      <c r="C177" s="4" t="s">
        <v>276</v>
      </c>
      <c r="D177" s="12">
        <v>1540.0</v>
      </c>
    </row>
    <row r="178">
      <c r="A178" s="79">
        <v>45797.0</v>
      </c>
      <c r="B178" s="4" t="s">
        <v>467</v>
      </c>
      <c r="C178" s="4" t="s">
        <v>378</v>
      </c>
      <c r="D178" s="12">
        <v>60.0</v>
      </c>
    </row>
    <row r="179">
      <c r="A179" s="79">
        <v>45797.0</v>
      </c>
      <c r="B179" s="4" t="s">
        <v>468</v>
      </c>
      <c r="C179" s="4" t="s">
        <v>285</v>
      </c>
      <c r="D179" s="12">
        <v>210.0</v>
      </c>
    </row>
    <row r="180">
      <c r="A180" s="79">
        <v>45797.0</v>
      </c>
      <c r="B180" s="4" t="s">
        <v>469</v>
      </c>
      <c r="C180" s="4" t="s">
        <v>470</v>
      </c>
      <c r="D180" s="12">
        <v>210.0</v>
      </c>
    </row>
    <row r="181">
      <c r="A181" s="79">
        <v>45797.0</v>
      </c>
      <c r="B181" s="4" t="s">
        <v>471</v>
      </c>
      <c r="C181" s="4" t="s">
        <v>264</v>
      </c>
      <c r="D181" s="12">
        <v>647.0</v>
      </c>
    </row>
    <row r="182">
      <c r="A182" s="79">
        <v>45797.0</v>
      </c>
      <c r="B182" s="4" t="s">
        <v>472</v>
      </c>
      <c r="C182" s="4" t="s">
        <v>473</v>
      </c>
      <c r="D182" s="12">
        <v>1560.0</v>
      </c>
    </row>
    <row r="183">
      <c r="A183" s="79">
        <v>45810.0</v>
      </c>
      <c r="B183" s="4" t="s">
        <v>474</v>
      </c>
      <c r="C183" s="4" t="s">
        <v>475</v>
      </c>
      <c r="D183" s="12">
        <v>280.0</v>
      </c>
    </row>
    <row r="184">
      <c r="A184" s="79">
        <v>45810.0</v>
      </c>
      <c r="B184" s="4" t="s">
        <v>476</v>
      </c>
      <c r="C184" s="4" t="s">
        <v>176</v>
      </c>
      <c r="D184" s="12">
        <v>540.0</v>
      </c>
    </row>
    <row r="185">
      <c r="A185" s="79">
        <v>45810.0</v>
      </c>
      <c r="B185" s="4" t="s">
        <v>477</v>
      </c>
      <c r="C185" s="4" t="s">
        <v>160</v>
      </c>
      <c r="D185" s="12">
        <v>550.0</v>
      </c>
    </row>
    <row r="186">
      <c r="A186" s="79">
        <v>45810.0</v>
      </c>
      <c r="B186" s="4" t="s">
        <v>478</v>
      </c>
      <c r="C186" s="4" t="s">
        <v>357</v>
      </c>
      <c r="D186" s="12">
        <v>560.0</v>
      </c>
    </row>
    <row r="187">
      <c r="A187" s="79">
        <v>45811.0</v>
      </c>
      <c r="B187" s="4" t="s">
        <v>479</v>
      </c>
      <c r="C187" s="4" t="s">
        <v>480</v>
      </c>
      <c r="D187" s="12">
        <v>280.0</v>
      </c>
    </row>
    <row r="188">
      <c r="A188" s="79">
        <v>45811.0</v>
      </c>
      <c r="B188" s="4" t="s">
        <v>481</v>
      </c>
      <c r="C188" s="4" t="s">
        <v>306</v>
      </c>
      <c r="D188" s="12">
        <v>310.0</v>
      </c>
    </row>
    <row r="189">
      <c r="A189" s="79">
        <v>45812.0</v>
      </c>
      <c r="B189" s="4" t="s">
        <v>482</v>
      </c>
      <c r="C189" s="4" t="s">
        <v>404</v>
      </c>
      <c r="D189" s="12">
        <v>280.0</v>
      </c>
    </row>
    <row r="190">
      <c r="A190" s="79">
        <v>45812.0</v>
      </c>
      <c r="B190" s="4" t="s">
        <v>483</v>
      </c>
      <c r="C190" s="4" t="s">
        <v>378</v>
      </c>
      <c r="D190" s="12">
        <v>290.0</v>
      </c>
    </row>
    <row r="191">
      <c r="A191" s="79">
        <v>45824.0</v>
      </c>
      <c r="B191" s="4" t="s">
        <v>484</v>
      </c>
      <c r="C191" s="4" t="s">
        <v>160</v>
      </c>
      <c r="D191" s="12">
        <v>173.0</v>
      </c>
    </row>
    <row r="192">
      <c r="A192" s="79">
        <v>45824.0</v>
      </c>
      <c r="B192" s="4" t="s">
        <v>485</v>
      </c>
      <c r="C192" s="4" t="s">
        <v>261</v>
      </c>
      <c r="D192" s="12">
        <v>200.0</v>
      </c>
    </row>
    <row r="193">
      <c r="A193" s="79">
        <v>45824.0</v>
      </c>
      <c r="B193" s="4" t="s">
        <v>486</v>
      </c>
      <c r="C193" s="4" t="s">
        <v>269</v>
      </c>
      <c r="D193" s="12">
        <v>380.0</v>
      </c>
    </row>
    <row r="194">
      <c r="A194" s="79">
        <v>45824.0</v>
      </c>
      <c r="B194" s="4" t="s">
        <v>487</v>
      </c>
      <c r="C194" s="4" t="s">
        <v>306</v>
      </c>
      <c r="D194" s="12">
        <v>400.0</v>
      </c>
    </row>
    <row r="195">
      <c r="A195" s="79">
        <v>45824.0</v>
      </c>
      <c r="B195" s="4" t="s">
        <v>488</v>
      </c>
      <c r="C195" s="4" t="s">
        <v>176</v>
      </c>
      <c r="D195" s="12">
        <v>415.0</v>
      </c>
    </row>
    <row r="196">
      <c r="A196" s="79">
        <v>45828.0</v>
      </c>
      <c r="B196" s="4" t="s">
        <v>489</v>
      </c>
      <c r="C196" s="4" t="s">
        <v>160</v>
      </c>
      <c r="D196" s="12">
        <v>1500.0</v>
      </c>
    </row>
    <row r="197">
      <c r="A197" s="79">
        <v>45838.0</v>
      </c>
      <c r="B197" s="4" t="s">
        <v>490</v>
      </c>
      <c r="C197" s="4" t="s">
        <v>372</v>
      </c>
      <c r="D197" s="12">
        <v>365.0</v>
      </c>
    </row>
    <row r="198">
      <c r="A198" s="79">
        <v>45838.0</v>
      </c>
      <c r="B198" s="4" t="s">
        <v>491</v>
      </c>
      <c r="C198" s="4" t="s">
        <v>492</v>
      </c>
      <c r="D198" s="12">
        <v>435.0</v>
      </c>
    </row>
    <row r="199">
      <c r="A199" s="79">
        <v>45838.0</v>
      </c>
      <c r="B199" s="4" t="s">
        <v>493</v>
      </c>
      <c r="C199" s="4" t="s">
        <v>160</v>
      </c>
      <c r="D199" s="12">
        <v>500.0</v>
      </c>
    </row>
    <row r="200">
      <c r="A200" s="79">
        <v>45838.0</v>
      </c>
      <c r="B200" s="4" t="s">
        <v>494</v>
      </c>
      <c r="C200" s="4" t="s">
        <v>495</v>
      </c>
      <c r="D200" s="12">
        <v>525.0</v>
      </c>
    </row>
    <row r="201">
      <c r="A201" s="79">
        <v>45838.0</v>
      </c>
      <c r="B201" s="4" t="s">
        <v>496</v>
      </c>
      <c r="C201" s="4" t="s">
        <v>269</v>
      </c>
      <c r="D201" s="12">
        <v>580.0</v>
      </c>
    </row>
    <row r="202">
      <c r="A202" s="79">
        <v>45838.0</v>
      </c>
      <c r="B202" s="4" t="s">
        <v>497</v>
      </c>
      <c r="C202" s="4" t="s">
        <v>306</v>
      </c>
      <c r="D202" s="12">
        <v>1032.0</v>
      </c>
    </row>
    <row r="203">
      <c r="A203" s="79">
        <v>45839.0</v>
      </c>
      <c r="B203" s="4" t="s">
        <v>498</v>
      </c>
      <c r="C203" s="4" t="s">
        <v>492</v>
      </c>
      <c r="D203" s="12">
        <v>435.0</v>
      </c>
    </row>
    <row r="204">
      <c r="A204" s="79">
        <v>45839.0</v>
      </c>
      <c r="B204" s="4" t="s">
        <v>499</v>
      </c>
      <c r="C204" s="4" t="s">
        <v>264</v>
      </c>
      <c r="D204" s="12">
        <v>500.0</v>
      </c>
    </row>
    <row r="205">
      <c r="A205" s="79">
        <v>45840.0</v>
      </c>
      <c r="B205" s="4" t="s">
        <v>500</v>
      </c>
      <c r="C205" s="4" t="s">
        <v>378</v>
      </c>
      <c r="D205" s="12">
        <v>860.0</v>
      </c>
    </row>
    <row r="206">
      <c r="A206" s="79">
        <v>45845.0</v>
      </c>
      <c r="B206" s="4" t="s">
        <v>501</v>
      </c>
      <c r="C206" s="4" t="s">
        <v>429</v>
      </c>
      <c r="D206" s="12">
        <v>500.0</v>
      </c>
    </row>
    <row r="207">
      <c r="A207" s="79">
        <v>45846.0</v>
      </c>
      <c r="B207" s="4" t="s">
        <v>502</v>
      </c>
      <c r="C207" s="4" t="s">
        <v>160</v>
      </c>
      <c r="D207" s="12">
        <v>400.0</v>
      </c>
    </row>
    <row r="208">
      <c r="A208" s="79">
        <v>45852.0</v>
      </c>
      <c r="B208" s="4" t="s">
        <v>503</v>
      </c>
      <c r="C208" s="4" t="s">
        <v>176</v>
      </c>
      <c r="D208" s="12">
        <v>365.0</v>
      </c>
    </row>
    <row r="209">
      <c r="A209" s="79">
        <v>45852.0</v>
      </c>
      <c r="B209" s="4" t="s">
        <v>504</v>
      </c>
      <c r="C209" s="4" t="s">
        <v>372</v>
      </c>
      <c r="D209" s="12">
        <v>660.0</v>
      </c>
    </row>
    <row r="210">
      <c r="A210" s="79">
        <v>45852.0</v>
      </c>
      <c r="B210" s="4" t="s">
        <v>505</v>
      </c>
      <c r="C210" s="4" t="s">
        <v>261</v>
      </c>
      <c r="D210" s="12">
        <v>930.0</v>
      </c>
    </row>
    <row r="211">
      <c r="A211" s="79">
        <v>45852.0</v>
      </c>
      <c r="B211" s="4" t="s">
        <v>506</v>
      </c>
      <c r="C211" s="4" t="s">
        <v>160</v>
      </c>
      <c r="D211" s="12">
        <v>1725.0</v>
      </c>
    </row>
    <row r="212">
      <c r="A212" s="79">
        <v>45852.0</v>
      </c>
      <c r="B212" s="4" t="s">
        <v>507</v>
      </c>
      <c r="C212" s="4" t="s">
        <v>269</v>
      </c>
      <c r="D212" s="12">
        <v>2405.0</v>
      </c>
    </row>
    <row r="213">
      <c r="A213" s="79">
        <v>45853.0</v>
      </c>
      <c r="B213" s="4" t="s">
        <v>508</v>
      </c>
      <c r="C213" s="4" t="s">
        <v>470</v>
      </c>
      <c r="D213" s="12">
        <v>300.0</v>
      </c>
    </row>
    <row r="214">
      <c r="A214" s="79">
        <v>45853.0</v>
      </c>
      <c r="B214" s="4" t="s">
        <v>509</v>
      </c>
      <c r="C214" s="4" t="s">
        <v>342</v>
      </c>
      <c r="D214" s="12">
        <v>465.0</v>
      </c>
    </row>
    <row r="215">
      <c r="A215" s="79">
        <v>45853.0</v>
      </c>
      <c r="B215" s="4" t="s">
        <v>510</v>
      </c>
      <c r="C215" s="4" t="s">
        <v>264</v>
      </c>
      <c r="D215" s="12">
        <v>575.0</v>
      </c>
    </row>
    <row r="216">
      <c r="A216" s="79">
        <v>45853.0</v>
      </c>
      <c r="B216" s="4" t="s">
        <v>511</v>
      </c>
      <c r="C216" s="4" t="s">
        <v>378</v>
      </c>
      <c r="D216" s="12">
        <v>870.0</v>
      </c>
    </row>
    <row r="217">
      <c r="A217" s="79">
        <v>45853.0</v>
      </c>
      <c r="B217" s="4" t="s">
        <v>512</v>
      </c>
      <c r="C217" s="4" t="s">
        <v>204</v>
      </c>
      <c r="D217" s="12">
        <v>1120.0</v>
      </c>
    </row>
    <row r="218">
      <c r="A218" s="79">
        <v>45853.0</v>
      </c>
      <c r="B218" s="4" t="s">
        <v>513</v>
      </c>
      <c r="C218" s="4" t="s">
        <v>306</v>
      </c>
      <c r="D218" s="12">
        <v>1840.0</v>
      </c>
    </row>
    <row r="219">
      <c r="A219" s="79">
        <v>45854.0</v>
      </c>
      <c r="B219" s="4" t="s">
        <v>514</v>
      </c>
      <c r="C219" s="4" t="s">
        <v>404</v>
      </c>
      <c r="D219" s="12">
        <v>560.0</v>
      </c>
    </row>
    <row r="220">
      <c r="A220" s="79">
        <v>45855.0</v>
      </c>
      <c r="B220" s="4" t="s">
        <v>515</v>
      </c>
      <c r="C220" s="4" t="s">
        <v>387</v>
      </c>
      <c r="D220" s="12">
        <v>420.0</v>
      </c>
    </row>
    <row r="221">
      <c r="A221" s="79">
        <v>45859.0</v>
      </c>
      <c r="B221" s="4" t="s">
        <v>516</v>
      </c>
      <c r="C221" s="4" t="s">
        <v>495</v>
      </c>
      <c r="D221" s="12">
        <v>232.0</v>
      </c>
    </row>
    <row r="222">
      <c r="A222" s="79">
        <v>45866.0</v>
      </c>
      <c r="B222" s="4" t="s">
        <v>517</v>
      </c>
      <c r="C222" s="4" t="s">
        <v>176</v>
      </c>
      <c r="D222" s="12">
        <v>495.0</v>
      </c>
    </row>
    <row r="223">
      <c r="A223" s="79">
        <v>45866.0</v>
      </c>
      <c r="B223" s="4" t="s">
        <v>518</v>
      </c>
      <c r="C223" s="4" t="s">
        <v>495</v>
      </c>
      <c r="D223" s="12">
        <v>630.0</v>
      </c>
    </row>
    <row r="224">
      <c r="A224" s="61">
        <v>45866.0</v>
      </c>
      <c r="B224" s="62" t="s">
        <v>519</v>
      </c>
      <c r="C224" s="4" t="s">
        <v>160</v>
      </c>
      <c r="D224" s="12">
        <v>2137.0</v>
      </c>
    </row>
    <row r="225">
      <c r="A225" s="79">
        <v>45866.0</v>
      </c>
      <c r="B225" s="4" t="s">
        <v>520</v>
      </c>
      <c r="C225" s="4" t="s">
        <v>521</v>
      </c>
      <c r="D225" s="12">
        <v>1440.0</v>
      </c>
    </row>
    <row r="226">
      <c r="A226" s="79">
        <v>45867.0</v>
      </c>
      <c r="B226" s="4" t="s">
        <v>522</v>
      </c>
      <c r="C226" s="4" t="s">
        <v>269</v>
      </c>
      <c r="D226" s="12">
        <v>835.0</v>
      </c>
    </row>
    <row r="227">
      <c r="A227" s="79">
        <v>45867.0</v>
      </c>
      <c r="B227" s="4" t="s">
        <v>523</v>
      </c>
      <c r="C227" s="4" t="s">
        <v>378</v>
      </c>
      <c r="D227" s="12">
        <v>1050.0</v>
      </c>
    </row>
    <row r="228">
      <c r="A228" s="79">
        <v>45867.0</v>
      </c>
      <c r="B228" s="4" t="s">
        <v>524</v>
      </c>
      <c r="C228" s="4" t="s">
        <v>404</v>
      </c>
      <c r="D228" s="12">
        <v>1680.0</v>
      </c>
    </row>
    <row r="229">
      <c r="A229" s="79">
        <v>45868.0</v>
      </c>
      <c r="B229" s="4" t="s">
        <v>525</v>
      </c>
      <c r="C229" s="4" t="s">
        <v>347</v>
      </c>
      <c r="D229" s="12">
        <v>101.0</v>
      </c>
    </row>
    <row r="230">
      <c r="A230" s="79">
        <v>45868.0</v>
      </c>
      <c r="B230" s="4" t="s">
        <v>526</v>
      </c>
      <c r="C230" s="4" t="s">
        <v>306</v>
      </c>
      <c r="D230" s="12">
        <v>330.0</v>
      </c>
    </row>
    <row r="231">
      <c r="A231" s="79">
        <v>45868.0</v>
      </c>
      <c r="B231" s="4" t="s">
        <v>527</v>
      </c>
      <c r="C231" s="4" t="s">
        <v>492</v>
      </c>
      <c r="D231" s="12">
        <v>725.0</v>
      </c>
    </row>
    <row r="232">
      <c r="A232" s="79">
        <v>45877.0</v>
      </c>
      <c r="B232" s="4" t="s">
        <v>528</v>
      </c>
      <c r="C232" s="4" t="s">
        <v>370</v>
      </c>
      <c r="D232" s="12">
        <v>145.0</v>
      </c>
    </row>
    <row r="233">
      <c r="A233" s="79">
        <v>45880.0</v>
      </c>
      <c r="B233" s="4" t="s">
        <v>529</v>
      </c>
      <c r="C233" s="4" t="s">
        <v>261</v>
      </c>
      <c r="D233" s="12">
        <v>320.0</v>
      </c>
    </row>
    <row r="234">
      <c r="A234" s="79">
        <v>45880.0</v>
      </c>
      <c r="B234" s="4" t="s">
        <v>530</v>
      </c>
      <c r="C234" s="4" t="s">
        <v>339</v>
      </c>
      <c r="D234" s="12">
        <v>400.0</v>
      </c>
    </row>
    <row r="235">
      <c r="A235" s="79">
        <v>45880.0</v>
      </c>
      <c r="B235" s="4" t="s">
        <v>531</v>
      </c>
      <c r="C235" s="4" t="s">
        <v>495</v>
      </c>
      <c r="D235" s="12">
        <v>787.5</v>
      </c>
    </row>
    <row r="236">
      <c r="A236" s="79">
        <v>45880.0</v>
      </c>
      <c r="B236" s="4" t="s">
        <v>532</v>
      </c>
      <c r="C236" s="4" t="s">
        <v>492</v>
      </c>
      <c r="D236" s="12">
        <v>870.0</v>
      </c>
    </row>
    <row r="237">
      <c r="A237" s="79">
        <v>45880.0</v>
      </c>
      <c r="B237" s="4" t="s">
        <v>533</v>
      </c>
      <c r="C237" s="4" t="s">
        <v>521</v>
      </c>
      <c r="D237" s="12">
        <v>1160.0</v>
      </c>
    </row>
    <row r="238">
      <c r="A238" s="79">
        <v>45880.0</v>
      </c>
      <c r="B238" s="4" t="s">
        <v>534</v>
      </c>
      <c r="C238" s="4" t="s">
        <v>160</v>
      </c>
      <c r="D238" s="12">
        <v>1443.75</v>
      </c>
    </row>
    <row r="239">
      <c r="A239" s="79">
        <v>45881.0</v>
      </c>
      <c r="B239" s="4" t="s">
        <v>535</v>
      </c>
      <c r="C239" s="4" t="s">
        <v>269</v>
      </c>
      <c r="D239" s="12">
        <v>185.0</v>
      </c>
    </row>
    <row r="240">
      <c r="A240" s="79">
        <v>45881.0</v>
      </c>
      <c r="B240" s="4" t="s">
        <v>536</v>
      </c>
      <c r="C240" s="4" t="s">
        <v>404</v>
      </c>
      <c r="D240" s="12">
        <v>1680.0</v>
      </c>
    </row>
    <row r="241">
      <c r="A241" s="79">
        <v>45883.0</v>
      </c>
      <c r="B241" s="4" t="s">
        <v>537</v>
      </c>
      <c r="C241" s="4" t="s">
        <v>378</v>
      </c>
      <c r="D241" s="12">
        <v>145.0</v>
      </c>
    </row>
    <row r="242">
      <c r="A242" s="79">
        <v>45891.0</v>
      </c>
      <c r="B242" s="4" t="s">
        <v>538</v>
      </c>
      <c r="C242" s="4" t="s">
        <v>521</v>
      </c>
      <c r="D242" s="12">
        <v>1000.0</v>
      </c>
    </row>
    <row r="243">
      <c r="A243" s="79">
        <v>45894.0</v>
      </c>
      <c r="B243" s="4" t="s">
        <v>539</v>
      </c>
      <c r="C243" s="4" t="s">
        <v>261</v>
      </c>
      <c r="D243" s="12">
        <v>160.0</v>
      </c>
    </row>
    <row r="244">
      <c r="A244" s="79">
        <v>45894.0</v>
      </c>
      <c r="B244" s="4" t="s">
        <v>540</v>
      </c>
      <c r="C244" s="4" t="s">
        <v>176</v>
      </c>
      <c r="D244" s="12">
        <v>450.0</v>
      </c>
    </row>
    <row r="245">
      <c r="A245" s="79">
        <v>45894.0</v>
      </c>
      <c r="B245" s="4" t="s">
        <v>541</v>
      </c>
      <c r="C245" s="4" t="s">
        <v>495</v>
      </c>
      <c r="D245" s="12">
        <v>980.0</v>
      </c>
    </row>
    <row r="246">
      <c r="A246" s="79">
        <v>45894.0</v>
      </c>
      <c r="B246" s="4" t="s">
        <v>542</v>
      </c>
      <c r="C246" s="4" t="s">
        <v>160</v>
      </c>
      <c r="D246" s="12">
        <v>1050.0</v>
      </c>
    </row>
    <row r="247">
      <c r="A247" s="79">
        <v>45894.0</v>
      </c>
      <c r="B247" s="4" t="s">
        <v>543</v>
      </c>
      <c r="C247" s="4" t="s">
        <v>204</v>
      </c>
      <c r="D247" s="12">
        <v>1740.0</v>
      </c>
    </row>
    <row r="248">
      <c r="A248" s="79">
        <v>45895.0</v>
      </c>
      <c r="B248" s="4" t="s">
        <v>541</v>
      </c>
      <c r="C248" s="4" t="s">
        <v>521</v>
      </c>
      <c r="D248" s="12">
        <v>1000.0</v>
      </c>
    </row>
    <row r="249">
      <c r="A249" s="79">
        <v>45895.0</v>
      </c>
      <c r="B249" s="4" t="s">
        <v>544</v>
      </c>
      <c r="C249" s="4" t="s">
        <v>404</v>
      </c>
      <c r="D249" s="12">
        <v>1540.0</v>
      </c>
    </row>
    <row r="250">
      <c r="A250" s="79">
        <v>45903.0</v>
      </c>
      <c r="B250" s="4" t="s">
        <v>545</v>
      </c>
      <c r="C250" s="4" t="s">
        <v>521</v>
      </c>
      <c r="D250" s="12">
        <v>980.0</v>
      </c>
    </row>
    <row r="251">
      <c r="A251" s="79">
        <v>45908.0</v>
      </c>
      <c r="B251" s="4" t="s">
        <v>546</v>
      </c>
      <c r="C251" s="4" t="s">
        <v>176</v>
      </c>
      <c r="D251" s="12">
        <v>300.0</v>
      </c>
    </row>
    <row r="252">
      <c r="A252" s="79">
        <v>45908.0</v>
      </c>
      <c r="B252" s="4" t="s">
        <v>547</v>
      </c>
      <c r="C252" s="4" t="s">
        <v>339</v>
      </c>
      <c r="D252" s="12">
        <v>1200.0</v>
      </c>
    </row>
    <row r="253">
      <c r="A253" s="79">
        <v>45909.0</v>
      </c>
      <c r="B253" s="4" t="s">
        <v>548</v>
      </c>
      <c r="C253" s="4" t="s">
        <v>404</v>
      </c>
      <c r="D253" s="12">
        <v>140.0</v>
      </c>
    </row>
    <row r="254">
      <c r="A254" s="79">
        <v>45916.0</v>
      </c>
      <c r="B254" s="4" t="s">
        <v>549</v>
      </c>
      <c r="C254" s="4" t="s">
        <v>550</v>
      </c>
      <c r="D254" s="12">
        <v>500.0</v>
      </c>
    </row>
    <row r="255">
      <c r="A255" s="79">
        <v>45922.0</v>
      </c>
      <c r="B255" s="4" t="s">
        <v>551</v>
      </c>
      <c r="C255" s="4" t="s">
        <v>552</v>
      </c>
      <c r="D255" s="12">
        <v>145.0</v>
      </c>
    </row>
    <row r="256">
      <c r="A256" s="79">
        <v>45922.0</v>
      </c>
      <c r="B256" s="4" t="s">
        <v>553</v>
      </c>
      <c r="C256" s="4" t="s">
        <v>495</v>
      </c>
      <c r="D256" s="12">
        <v>420.0</v>
      </c>
    </row>
    <row r="257">
      <c r="A257" s="79">
        <v>45922.0</v>
      </c>
      <c r="B257" s="4" t="s">
        <v>554</v>
      </c>
      <c r="C257" s="4" t="s">
        <v>550</v>
      </c>
      <c r="D257" s="12">
        <v>500.0</v>
      </c>
    </row>
    <row r="258">
      <c r="A258" s="79">
        <v>45922.0</v>
      </c>
      <c r="B258" s="4" t="s">
        <v>555</v>
      </c>
      <c r="C258" s="4" t="s">
        <v>492</v>
      </c>
      <c r="D258" s="12">
        <v>580.0</v>
      </c>
    </row>
    <row r="259">
      <c r="A259" s="79">
        <v>45922.0</v>
      </c>
      <c r="B259" s="4" t="s">
        <v>556</v>
      </c>
      <c r="C259" s="4" t="s">
        <v>176</v>
      </c>
      <c r="D259" s="12">
        <v>825.0</v>
      </c>
    </row>
    <row r="260">
      <c r="A260" s="79">
        <v>45922.0</v>
      </c>
      <c r="B260" s="4" t="s">
        <v>557</v>
      </c>
      <c r="C260" s="4" t="s">
        <v>160</v>
      </c>
      <c r="D260" s="12">
        <v>1500.0</v>
      </c>
    </row>
    <row r="261">
      <c r="A261" s="79">
        <v>45922.0</v>
      </c>
      <c r="B261" s="4" t="s">
        <v>335</v>
      </c>
      <c r="C261" s="4" t="s">
        <v>521</v>
      </c>
      <c r="D261" s="12">
        <v>1620.0</v>
      </c>
    </row>
    <row r="262">
      <c r="A262" s="79">
        <v>45924.0</v>
      </c>
      <c r="B262" s="4" t="s">
        <v>558</v>
      </c>
      <c r="C262" s="4" t="s">
        <v>559</v>
      </c>
      <c r="D262" s="12">
        <v>310.0</v>
      </c>
    </row>
    <row r="263">
      <c r="A263" s="79">
        <v>45925.0</v>
      </c>
      <c r="B263" s="4" t="s">
        <v>560</v>
      </c>
      <c r="C263" s="4" t="s">
        <v>404</v>
      </c>
      <c r="D263" s="12">
        <v>700.0</v>
      </c>
    </row>
    <row r="264">
      <c r="A264" s="79">
        <v>45936.0</v>
      </c>
      <c r="B264" s="4" t="s">
        <v>561</v>
      </c>
      <c r="C264" s="4" t="s">
        <v>176</v>
      </c>
      <c r="D264" s="12">
        <v>480.0</v>
      </c>
    </row>
    <row r="265">
      <c r="A265" s="79">
        <v>45936.0</v>
      </c>
      <c r="B265" s="4" t="s">
        <v>562</v>
      </c>
      <c r="C265" s="4" t="s">
        <v>563</v>
      </c>
      <c r="D265" s="12">
        <v>1260.0</v>
      </c>
    </row>
    <row r="266">
      <c r="A266" s="79">
        <v>45936.0</v>
      </c>
      <c r="B266" s="4" t="s">
        <v>564</v>
      </c>
      <c r="C266" s="4" t="s">
        <v>160</v>
      </c>
      <c r="D266" s="12">
        <v>1320.0</v>
      </c>
    </row>
    <row r="267">
      <c r="A267" s="79">
        <v>45937.0</v>
      </c>
      <c r="B267" s="4" t="s">
        <v>565</v>
      </c>
      <c r="C267" s="4" t="s">
        <v>404</v>
      </c>
      <c r="D267" s="12">
        <v>840.0</v>
      </c>
    </row>
    <row r="268">
      <c r="A268" s="68">
        <v>45950.0</v>
      </c>
      <c r="B268" s="4" t="s">
        <v>566</v>
      </c>
      <c r="C268" s="4" t="s">
        <v>261</v>
      </c>
      <c r="D268" s="12">
        <v>215.0</v>
      </c>
    </row>
    <row r="269">
      <c r="A269" s="68">
        <v>45950.0</v>
      </c>
      <c r="B269" s="4" t="s">
        <v>567</v>
      </c>
      <c r="C269" s="4" t="s">
        <v>176</v>
      </c>
      <c r="D269" s="12">
        <v>660.0</v>
      </c>
    </row>
    <row r="270">
      <c r="A270" s="68">
        <v>45950.0</v>
      </c>
      <c r="B270" s="4" t="s">
        <v>568</v>
      </c>
      <c r="C270" s="4" t="s">
        <v>495</v>
      </c>
      <c r="D270" s="12">
        <v>840.0</v>
      </c>
    </row>
    <row r="271">
      <c r="A271" s="68">
        <v>45950.0</v>
      </c>
      <c r="B271" s="4" t="s">
        <v>569</v>
      </c>
      <c r="C271" s="4" t="s">
        <v>160</v>
      </c>
      <c r="D271" s="12">
        <v>900.0</v>
      </c>
    </row>
    <row r="272">
      <c r="A272" s="68">
        <v>45950.0</v>
      </c>
      <c r="B272" s="4" t="s">
        <v>570</v>
      </c>
      <c r="C272" s="4" t="s">
        <v>521</v>
      </c>
      <c r="D272" s="12">
        <v>1260.0</v>
      </c>
    </row>
    <row r="273">
      <c r="A273" s="68">
        <v>45951.0</v>
      </c>
      <c r="B273" s="4" t="s">
        <v>571</v>
      </c>
      <c r="C273" s="4" t="s">
        <v>404</v>
      </c>
      <c r="D273" s="12">
        <v>700.0</v>
      </c>
    </row>
    <row r="274">
      <c r="A274" s="68">
        <v>45951.0</v>
      </c>
      <c r="B274" s="4" t="s">
        <v>572</v>
      </c>
      <c r="C274" s="4" t="s">
        <v>339</v>
      </c>
      <c r="D274" s="12">
        <v>1800.0</v>
      </c>
    </row>
    <row r="275">
      <c r="A275" s="68">
        <v>45951.0</v>
      </c>
      <c r="B275" s="4" t="s">
        <v>573</v>
      </c>
      <c r="C275" s="4" t="s">
        <v>269</v>
      </c>
      <c r="D275" s="12">
        <v>1850.0</v>
      </c>
    </row>
    <row r="276">
      <c r="A276" s="68">
        <v>45957.0</v>
      </c>
      <c r="B276" s="4" t="s">
        <v>574</v>
      </c>
      <c r="C276" s="4" t="s">
        <v>521</v>
      </c>
      <c r="D276" s="12">
        <v>980.0</v>
      </c>
    </row>
    <row r="277">
      <c r="A277" s="79">
        <v>45964.0</v>
      </c>
      <c r="B277" s="4" t="s">
        <v>575</v>
      </c>
      <c r="C277" s="4" t="s">
        <v>176</v>
      </c>
      <c r="D277" s="12">
        <v>320.0</v>
      </c>
    </row>
    <row r="278">
      <c r="A278" s="79">
        <v>45964.0</v>
      </c>
      <c r="B278" s="4" t="s">
        <v>576</v>
      </c>
      <c r="C278" s="4" t="s">
        <v>160</v>
      </c>
      <c r="D278" s="12">
        <v>750.0</v>
      </c>
    </row>
    <row r="279">
      <c r="A279" s="79">
        <v>45964.0</v>
      </c>
      <c r="B279" s="4" t="s">
        <v>577</v>
      </c>
      <c r="C279" s="4" t="s">
        <v>475</v>
      </c>
      <c r="D279" s="12">
        <v>840.0</v>
      </c>
    </row>
    <row r="280">
      <c r="A280" s="79">
        <v>45964.0</v>
      </c>
      <c r="B280" s="4" t="s">
        <v>578</v>
      </c>
      <c r="C280" s="4" t="s">
        <v>261</v>
      </c>
      <c r="D280" s="12">
        <v>1280.0</v>
      </c>
    </row>
    <row r="281">
      <c r="A281" s="79">
        <v>45964.0</v>
      </c>
      <c r="B281" s="4" t="s">
        <v>579</v>
      </c>
      <c r="C281" s="4" t="s">
        <v>492</v>
      </c>
      <c r="D281" s="12">
        <v>1450.0</v>
      </c>
    </row>
    <row r="282">
      <c r="A282" s="79">
        <v>45964.0</v>
      </c>
      <c r="B282" s="4" t="s">
        <v>580</v>
      </c>
      <c r="C282" s="4" t="s">
        <v>269</v>
      </c>
      <c r="D282" s="12">
        <v>1665.0</v>
      </c>
    </row>
    <row r="283">
      <c r="A283" s="79">
        <v>45966.0</v>
      </c>
      <c r="B283" s="4" t="s">
        <v>581</v>
      </c>
      <c r="C283" s="4" t="s">
        <v>404</v>
      </c>
      <c r="D283" s="12">
        <v>420.0</v>
      </c>
    </row>
    <row r="284">
      <c r="A284" s="79">
        <v>45966.0</v>
      </c>
      <c r="B284" s="4" t="s">
        <v>582</v>
      </c>
      <c r="C284" s="4" t="s">
        <v>521</v>
      </c>
      <c r="D284" s="12">
        <v>1000.0</v>
      </c>
    </row>
    <row r="285">
      <c r="A285" s="68">
        <v>45971.0</v>
      </c>
      <c r="B285" s="4" t="s">
        <v>583</v>
      </c>
      <c r="C285" s="4" t="s">
        <v>521</v>
      </c>
      <c r="D285" s="12">
        <v>800.0</v>
      </c>
    </row>
    <row r="286">
      <c r="A286" s="68">
        <v>45973.0</v>
      </c>
      <c r="B286" s="4" t="s">
        <v>584</v>
      </c>
      <c r="C286" s="4" t="s">
        <v>264</v>
      </c>
      <c r="D286" s="12">
        <v>300.0</v>
      </c>
    </row>
    <row r="287">
      <c r="A287" s="68">
        <v>45978.0</v>
      </c>
      <c r="B287" s="4" t="s">
        <v>585</v>
      </c>
      <c r="C287" s="4" t="s">
        <v>495</v>
      </c>
      <c r="D287" s="12">
        <v>280.0</v>
      </c>
    </row>
    <row r="288">
      <c r="A288" s="68">
        <v>45978.0</v>
      </c>
      <c r="B288" s="4" t="s">
        <v>586</v>
      </c>
      <c r="C288" s="4" t="s">
        <v>176</v>
      </c>
      <c r="D288" s="12">
        <v>495.0</v>
      </c>
    </row>
    <row r="289">
      <c r="A289" s="68">
        <v>45978.0</v>
      </c>
      <c r="B289" s="4" t="s">
        <v>587</v>
      </c>
      <c r="C289" s="4" t="s">
        <v>261</v>
      </c>
      <c r="D289" s="12">
        <v>825.0</v>
      </c>
    </row>
    <row r="290">
      <c r="A290" s="68">
        <v>45978.0</v>
      </c>
      <c r="B290" s="4" t="s">
        <v>588</v>
      </c>
      <c r="C290" s="4" t="s">
        <v>521</v>
      </c>
      <c r="D290" s="12">
        <v>1000.0</v>
      </c>
    </row>
    <row r="291">
      <c r="A291" s="68">
        <v>45978.0</v>
      </c>
      <c r="B291" s="4" t="s">
        <v>589</v>
      </c>
      <c r="C291" s="4" t="s">
        <v>339</v>
      </c>
      <c r="D291" s="12">
        <v>1050.0</v>
      </c>
    </row>
    <row r="292">
      <c r="A292" s="68">
        <v>45979.0</v>
      </c>
      <c r="B292" s="4" t="s">
        <v>590</v>
      </c>
      <c r="C292" s="4" t="s">
        <v>378</v>
      </c>
      <c r="D292" s="12">
        <v>150.0</v>
      </c>
    </row>
    <row r="293">
      <c r="A293" s="68">
        <v>45979.0</v>
      </c>
      <c r="B293" s="4" t="s">
        <v>591</v>
      </c>
      <c r="C293" s="4" t="s">
        <v>269</v>
      </c>
      <c r="D293" s="12">
        <v>555.0</v>
      </c>
    </row>
    <row r="294">
      <c r="A294" s="68">
        <v>45979.0</v>
      </c>
      <c r="B294" s="4" t="s">
        <v>592</v>
      </c>
      <c r="C294" s="4" t="s">
        <v>378</v>
      </c>
      <c r="D294" s="12">
        <v>1050.0</v>
      </c>
    </row>
    <row r="295">
      <c r="A295" s="79">
        <v>45992.0</v>
      </c>
      <c r="B295" s="4" t="s">
        <v>593</v>
      </c>
      <c r="C295" s="4" t="s">
        <v>495</v>
      </c>
      <c r="D295" s="12">
        <v>1120.0</v>
      </c>
    </row>
    <row r="296">
      <c r="A296" s="79">
        <v>45993.0</v>
      </c>
      <c r="B296" s="4" t="s">
        <v>594</v>
      </c>
      <c r="C296" s="4" t="s">
        <v>269</v>
      </c>
      <c r="D296" s="12">
        <v>555.0</v>
      </c>
    </row>
    <row r="297">
      <c r="A297" s="79">
        <v>45996.0</v>
      </c>
      <c r="B297" s="4" t="s">
        <v>595</v>
      </c>
      <c r="C297" s="4" t="s">
        <v>521</v>
      </c>
      <c r="D297" s="12">
        <v>1597.5</v>
      </c>
    </row>
    <row r="298">
      <c r="A298" s="68">
        <v>46006.0</v>
      </c>
      <c r="B298" s="4" t="s">
        <v>596</v>
      </c>
      <c r="C298" s="4" t="s">
        <v>597</v>
      </c>
      <c r="D298" s="12">
        <v>165.0</v>
      </c>
    </row>
    <row r="299">
      <c r="A299" s="68">
        <v>46006.0</v>
      </c>
      <c r="B299" s="4" t="s">
        <v>598</v>
      </c>
      <c r="C299" s="4" t="s">
        <v>176</v>
      </c>
      <c r="D299" s="12">
        <v>495.0</v>
      </c>
    </row>
    <row r="300">
      <c r="A300" s="68">
        <v>46006.0</v>
      </c>
      <c r="B300" s="4" t="s">
        <v>599</v>
      </c>
      <c r="C300" s="4" t="s">
        <v>261</v>
      </c>
      <c r="D300" s="12">
        <v>990.0</v>
      </c>
    </row>
    <row r="301">
      <c r="A301" s="68">
        <v>46007.0</v>
      </c>
      <c r="B301" s="4" t="s">
        <v>600</v>
      </c>
      <c r="C301" s="4" t="s">
        <v>269</v>
      </c>
      <c r="D301" s="12">
        <v>925.0</v>
      </c>
    </row>
    <row r="302">
      <c r="A302" s="68">
        <v>46008.0</v>
      </c>
      <c r="B302" s="4" t="s">
        <v>601</v>
      </c>
      <c r="C302" s="4" t="s">
        <v>404</v>
      </c>
      <c r="D302" s="12">
        <v>290.0</v>
      </c>
    </row>
    <row r="303">
      <c r="A303" s="68">
        <v>46017.0</v>
      </c>
      <c r="B303" s="4" t="s">
        <v>602</v>
      </c>
      <c r="C303" s="4" t="s">
        <v>521</v>
      </c>
      <c r="D303" s="12">
        <v>360.0</v>
      </c>
    </row>
    <row r="304">
      <c r="A304" s="68">
        <v>46020.0</v>
      </c>
      <c r="B304" s="4" t="s">
        <v>603</v>
      </c>
      <c r="C304" s="4" t="s">
        <v>261</v>
      </c>
      <c r="D304" s="12">
        <v>165.0</v>
      </c>
    </row>
    <row r="305">
      <c r="A305" s="68">
        <v>46020.0</v>
      </c>
      <c r="B305" s="4" t="s">
        <v>604</v>
      </c>
      <c r="C305" s="4" t="s">
        <v>495</v>
      </c>
      <c r="D305" s="12">
        <v>290.0</v>
      </c>
    </row>
    <row r="306">
      <c r="A306" s="68">
        <v>46021.0</v>
      </c>
      <c r="B306" s="4" t="s">
        <v>605</v>
      </c>
      <c r="C306" s="4" t="s">
        <v>269</v>
      </c>
      <c r="D306" s="12">
        <v>555.0</v>
      </c>
    </row>
    <row r="307">
      <c r="A307" s="68">
        <v>46022.0</v>
      </c>
      <c r="B307" s="4" t="s">
        <v>606</v>
      </c>
      <c r="C307" s="4" t="s">
        <v>176</v>
      </c>
      <c r="D307" s="12">
        <v>330.0</v>
      </c>
    </row>
    <row r="308">
      <c r="A308" s="79">
        <v>46027.0</v>
      </c>
      <c r="B308" s="4" t="s">
        <v>607</v>
      </c>
      <c r="C308" s="4" t="s">
        <v>521</v>
      </c>
      <c r="D308" s="12">
        <v>410.0</v>
      </c>
    </row>
    <row r="309">
      <c r="A309" s="79">
        <v>46035.0</v>
      </c>
      <c r="B309" s="4" t="s">
        <v>608</v>
      </c>
      <c r="C309" s="4" t="s">
        <v>269</v>
      </c>
      <c r="D309" s="12">
        <v>855.53</v>
      </c>
    </row>
    <row r="310">
      <c r="A310" s="79">
        <v>46048.0</v>
      </c>
      <c r="B310" s="4" t="s">
        <v>609</v>
      </c>
      <c r="C310" s="4" t="s">
        <v>261</v>
      </c>
      <c r="D310" s="12">
        <v>403.0</v>
      </c>
    </row>
    <row r="311">
      <c r="A311" s="79">
        <v>46048.0</v>
      </c>
      <c r="B311" s="4" t="s">
        <v>610</v>
      </c>
      <c r="C311" s="4" t="s">
        <v>387</v>
      </c>
      <c r="D311" s="12">
        <v>945.0</v>
      </c>
    </row>
    <row r="312">
      <c r="A312" s="79">
        <v>46048.0</v>
      </c>
      <c r="B312" s="4" t="s">
        <v>611</v>
      </c>
      <c r="C312" s="4" t="s">
        <v>372</v>
      </c>
      <c r="D312" s="12">
        <v>960.0</v>
      </c>
    </row>
    <row r="313">
      <c r="A313" s="79">
        <v>46048.0</v>
      </c>
      <c r="B313" s="4" t="s">
        <v>612</v>
      </c>
      <c r="C313" s="4" t="s">
        <v>613</v>
      </c>
      <c r="D313" s="12">
        <v>1000.0</v>
      </c>
    </row>
    <row r="314">
      <c r="A314" s="79">
        <v>46048.0</v>
      </c>
      <c r="B314" s="4" t="s">
        <v>614</v>
      </c>
      <c r="C314" s="4" t="s">
        <v>160</v>
      </c>
      <c r="D314" s="12">
        <v>1350.0</v>
      </c>
    </row>
    <row r="315">
      <c r="A315" s="79">
        <v>46049.0</v>
      </c>
      <c r="B315" s="4" t="s">
        <v>615</v>
      </c>
      <c r="C315" s="4" t="s">
        <v>616</v>
      </c>
      <c r="D315" s="12">
        <v>1050.0</v>
      </c>
    </row>
    <row r="316">
      <c r="A316" s="79">
        <v>46050.0</v>
      </c>
      <c r="B316" s="4" t="s">
        <v>617</v>
      </c>
      <c r="C316" s="4" t="s">
        <v>261</v>
      </c>
      <c r="D316" s="12">
        <v>360.0</v>
      </c>
    </row>
    <row r="317">
      <c r="A317" s="79">
        <v>46051.0</v>
      </c>
      <c r="B317" s="4" t="s">
        <v>618</v>
      </c>
      <c r="C317" s="4" t="s">
        <v>269</v>
      </c>
      <c r="D317" s="12">
        <v>444.0</v>
      </c>
    </row>
    <row r="318">
      <c r="A318" s="79">
        <v>46055.0</v>
      </c>
      <c r="B318" s="4" t="s">
        <v>619</v>
      </c>
      <c r="C318" s="4" t="s">
        <v>552</v>
      </c>
      <c r="D318" s="12">
        <v>900.0</v>
      </c>
    </row>
    <row r="319">
      <c r="A319" s="79">
        <v>46062.0</v>
      </c>
      <c r="B319" s="4" t="s">
        <v>620</v>
      </c>
      <c r="C319" s="4" t="s">
        <v>261</v>
      </c>
      <c r="D319" s="12">
        <v>155.0</v>
      </c>
    </row>
    <row r="320">
      <c r="A320" s="79">
        <v>46062.0</v>
      </c>
      <c r="B320" s="4" t="s">
        <v>621</v>
      </c>
      <c r="C320" s="4" t="s">
        <v>521</v>
      </c>
      <c r="D320" s="12">
        <v>360.0</v>
      </c>
    </row>
    <row r="321">
      <c r="A321" s="79">
        <v>46076.0</v>
      </c>
      <c r="B321" s="4" t="s">
        <v>622</v>
      </c>
      <c r="C321" s="4" t="s">
        <v>176</v>
      </c>
      <c r="D321" s="12">
        <v>400.0</v>
      </c>
    </row>
    <row r="322">
      <c r="A322" s="79">
        <v>46076.0</v>
      </c>
      <c r="B322" s="4" t="s">
        <v>623</v>
      </c>
      <c r="C322" s="4" t="s">
        <v>261</v>
      </c>
      <c r="D322" s="12">
        <v>804.71</v>
      </c>
    </row>
    <row r="323">
      <c r="A323" s="79">
        <v>46077.0</v>
      </c>
      <c r="B323" s="4" t="s">
        <v>624</v>
      </c>
      <c r="C323" s="4" t="s">
        <v>269</v>
      </c>
      <c r="D323" s="12">
        <v>210.0</v>
      </c>
    </row>
    <row r="324">
      <c r="A324" s="79">
        <v>46090.0</v>
      </c>
      <c r="B324" s="4" t="s">
        <v>625</v>
      </c>
      <c r="C324" s="4" t="s">
        <v>261</v>
      </c>
      <c r="D324" s="12">
        <v>330.0</v>
      </c>
    </row>
    <row r="325">
      <c r="A325" s="79">
        <v>46091.0</v>
      </c>
      <c r="B325" s="4" t="s">
        <v>626</v>
      </c>
      <c r="C325" s="4" t="s">
        <v>269</v>
      </c>
      <c r="D325" s="12">
        <v>370.0</v>
      </c>
    </row>
    <row r="326">
      <c r="A326" s="79">
        <v>46104.0</v>
      </c>
      <c r="B326" s="4" t="s">
        <v>627</v>
      </c>
      <c r="C326" s="4" t="s">
        <v>261</v>
      </c>
      <c r="D326" s="12">
        <v>165.0</v>
      </c>
    </row>
    <row r="327">
      <c r="A327" s="79">
        <v>46104.0</v>
      </c>
      <c r="B327" s="4" t="s">
        <v>628</v>
      </c>
      <c r="C327" s="4" t="s">
        <v>269</v>
      </c>
      <c r="D327" s="12">
        <v>600.0</v>
      </c>
    </row>
    <row r="328">
      <c r="A328" s="79">
        <v>46105.0</v>
      </c>
      <c r="B328" s="4" t="s">
        <v>629</v>
      </c>
      <c r="C328" s="4" t="s">
        <v>204</v>
      </c>
      <c r="D328" s="12">
        <v>145.0</v>
      </c>
    </row>
    <row r="329">
      <c r="A329" s="79">
        <v>46118.0</v>
      </c>
      <c r="B329" s="4" t="s">
        <v>630</v>
      </c>
      <c r="C329" s="4" t="s">
        <v>261</v>
      </c>
      <c r="D329" s="12">
        <v>165.0</v>
      </c>
    </row>
    <row r="330">
      <c r="D330" s="2"/>
    </row>
    <row r="331">
      <c r="D331" s="2"/>
    </row>
    <row r="332">
      <c r="D332" s="2"/>
    </row>
    <row r="333">
      <c r="D333" s="2"/>
    </row>
    <row r="334">
      <c r="D334" s="2"/>
    </row>
    <row r="335">
      <c r="D335" s="2"/>
    </row>
    <row r="336">
      <c r="D336" s="2"/>
    </row>
    <row r="337">
      <c r="D337" s="2"/>
    </row>
    <row r="338">
      <c r="D338" s="2"/>
    </row>
    <row r="339">
      <c r="D339" s="2"/>
    </row>
    <row r="340">
      <c r="D340" s="2"/>
    </row>
    <row r="341">
      <c r="D341" s="2"/>
    </row>
    <row r="342">
      <c r="D342" s="2"/>
    </row>
    <row r="343">
      <c r="D343" s="2"/>
    </row>
    <row r="344">
      <c r="D344" s="2"/>
    </row>
    <row r="345">
      <c r="D345" s="2"/>
    </row>
    <row r="346">
      <c r="D346" s="2"/>
    </row>
    <row r="347">
      <c r="D347" s="2"/>
    </row>
    <row r="348">
      <c r="D348" s="2"/>
    </row>
    <row r="349">
      <c r="D349" s="2"/>
    </row>
    <row r="350">
      <c r="D350" s="2"/>
    </row>
    <row r="351">
      <c r="D351" s="2"/>
    </row>
    <row r="352">
      <c r="D352" s="2"/>
    </row>
    <row r="353">
      <c r="D353" s="2"/>
    </row>
    <row r="354">
      <c r="D354" s="2"/>
    </row>
    <row r="355">
      <c r="D355" s="2"/>
    </row>
    <row r="356">
      <c r="D356" s="2"/>
    </row>
    <row r="357">
      <c r="D357" s="2"/>
    </row>
    <row r="358">
      <c r="D358" s="2"/>
    </row>
    <row r="359">
      <c r="D359" s="2"/>
    </row>
    <row r="360">
      <c r="D360" s="2"/>
    </row>
    <row r="361">
      <c r="D361" s="2"/>
    </row>
    <row r="362">
      <c r="D362" s="2"/>
    </row>
    <row r="363">
      <c r="D363" s="2"/>
    </row>
    <row r="364">
      <c r="D364" s="2"/>
    </row>
    <row r="365">
      <c r="D365" s="2"/>
    </row>
    <row r="366">
      <c r="D366" s="2"/>
    </row>
    <row r="367">
      <c r="D367" s="2"/>
    </row>
    <row r="368">
      <c r="D368" s="2"/>
    </row>
    <row r="369">
      <c r="D369" s="2"/>
    </row>
    <row r="370">
      <c r="D370" s="2"/>
    </row>
    <row r="371">
      <c r="D371" s="2"/>
    </row>
    <row r="372">
      <c r="D372" s="2"/>
    </row>
    <row r="373">
      <c r="D373" s="2"/>
    </row>
    <row r="374">
      <c r="D374" s="2"/>
    </row>
    <row r="375">
      <c r="D375" s="2"/>
    </row>
    <row r="376">
      <c r="D376" s="2"/>
    </row>
    <row r="377">
      <c r="D377" s="2"/>
    </row>
    <row r="378">
      <c r="D378" s="2"/>
    </row>
    <row r="379">
      <c r="D379" s="2"/>
    </row>
    <row r="380">
      <c r="D380" s="2"/>
    </row>
    <row r="381">
      <c r="D381" s="2"/>
    </row>
    <row r="382">
      <c r="D382" s="2"/>
    </row>
    <row r="383">
      <c r="D383" s="2"/>
    </row>
    <row r="384">
      <c r="D384" s="2"/>
    </row>
    <row r="385">
      <c r="D385" s="2"/>
    </row>
    <row r="386">
      <c r="D386" s="2"/>
    </row>
    <row r="387">
      <c r="D387" s="2"/>
    </row>
    <row r="388">
      <c r="D388" s="2"/>
    </row>
    <row r="389">
      <c r="D389" s="2"/>
    </row>
    <row r="390">
      <c r="D390" s="2"/>
    </row>
    <row r="391">
      <c r="D391" s="2"/>
    </row>
    <row r="392">
      <c r="D392" s="2"/>
    </row>
    <row r="393">
      <c r="D393" s="2"/>
    </row>
    <row r="394">
      <c r="D394" s="2"/>
    </row>
    <row r="395">
      <c r="D395" s="2"/>
    </row>
    <row r="396">
      <c r="D396" s="2"/>
    </row>
    <row r="397">
      <c r="D397" s="2"/>
    </row>
    <row r="398">
      <c r="D398" s="2"/>
    </row>
    <row r="399">
      <c r="D399" s="2"/>
    </row>
    <row r="400">
      <c r="D400" s="2"/>
    </row>
    <row r="401">
      <c r="D401" s="2"/>
    </row>
    <row r="402">
      <c r="D402" s="2"/>
    </row>
    <row r="403">
      <c r="D403" s="2"/>
    </row>
    <row r="404">
      <c r="D404" s="2"/>
    </row>
    <row r="405">
      <c r="D405" s="2"/>
    </row>
    <row r="406">
      <c r="D406" s="2"/>
    </row>
    <row r="407">
      <c r="D407" s="2"/>
    </row>
    <row r="408">
      <c r="D408" s="2"/>
    </row>
    <row r="409">
      <c r="D409" s="2"/>
    </row>
    <row r="410">
      <c r="D410" s="2"/>
    </row>
    <row r="411">
      <c r="D411" s="2"/>
    </row>
    <row r="412">
      <c r="D412" s="2"/>
    </row>
    <row r="413">
      <c r="D413" s="2"/>
    </row>
    <row r="414">
      <c r="D414" s="2"/>
    </row>
    <row r="415">
      <c r="D415" s="2"/>
    </row>
    <row r="416">
      <c r="D416" s="2"/>
    </row>
    <row r="417">
      <c r="D417" s="2"/>
    </row>
    <row r="418">
      <c r="D418" s="2"/>
    </row>
    <row r="419">
      <c r="D419" s="2"/>
    </row>
    <row r="420">
      <c r="D420" s="2"/>
    </row>
    <row r="421">
      <c r="D421" s="2"/>
    </row>
    <row r="422">
      <c r="D422" s="2"/>
    </row>
    <row r="423">
      <c r="D423" s="2"/>
    </row>
    <row r="424">
      <c r="D424" s="2"/>
    </row>
    <row r="425">
      <c r="D425" s="2"/>
    </row>
    <row r="426">
      <c r="D426" s="2"/>
    </row>
    <row r="427">
      <c r="D427" s="2"/>
    </row>
    <row r="428">
      <c r="D428" s="2"/>
    </row>
    <row r="429">
      <c r="D429" s="2"/>
    </row>
    <row r="430">
      <c r="D430" s="2"/>
    </row>
    <row r="431">
      <c r="D431" s="2"/>
    </row>
    <row r="432">
      <c r="D432" s="2"/>
    </row>
    <row r="433">
      <c r="D433" s="2"/>
    </row>
    <row r="434">
      <c r="D434" s="2"/>
    </row>
    <row r="435">
      <c r="D435" s="2"/>
    </row>
    <row r="436">
      <c r="D436" s="2"/>
    </row>
    <row r="437">
      <c r="D437" s="2"/>
    </row>
    <row r="438">
      <c r="D438" s="2"/>
    </row>
    <row r="439">
      <c r="D439" s="2"/>
    </row>
    <row r="440">
      <c r="D440" s="2"/>
    </row>
    <row r="441">
      <c r="D441" s="2"/>
    </row>
    <row r="442">
      <c r="D442" s="2"/>
    </row>
    <row r="443">
      <c r="D443" s="2"/>
    </row>
    <row r="444">
      <c r="D444" s="2"/>
    </row>
    <row r="445">
      <c r="D445" s="2"/>
    </row>
    <row r="446">
      <c r="D446" s="2"/>
    </row>
    <row r="447">
      <c r="D447" s="2"/>
    </row>
    <row r="448">
      <c r="D448" s="2"/>
    </row>
    <row r="449">
      <c r="D449" s="2"/>
    </row>
    <row r="450">
      <c r="D450" s="2"/>
    </row>
    <row r="451">
      <c r="D451" s="2"/>
    </row>
    <row r="452">
      <c r="D452" s="2"/>
    </row>
    <row r="453">
      <c r="D453" s="2"/>
    </row>
    <row r="454">
      <c r="D454" s="2"/>
    </row>
    <row r="455">
      <c r="D455" s="2"/>
    </row>
    <row r="456">
      <c r="D456" s="2"/>
    </row>
    <row r="457">
      <c r="D457" s="2"/>
    </row>
    <row r="458">
      <c r="D458" s="2"/>
    </row>
    <row r="459">
      <c r="D459" s="2"/>
    </row>
    <row r="460">
      <c r="D460" s="2"/>
    </row>
    <row r="461">
      <c r="D461" s="2"/>
    </row>
    <row r="462">
      <c r="D462" s="2"/>
    </row>
    <row r="463">
      <c r="D463" s="2"/>
    </row>
    <row r="464">
      <c r="D464" s="2"/>
    </row>
    <row r="465">
      <c r="D465" s="2"/>
    </row>
    <row r="466">
      <c r="D466" s="2"/>
    </row>
    <row r="467">
      <c r="D467" s="2"/>
    </row>
    <row r="468">
      <c r="D468" s="2"/>
    </row>
    <row r="469">
      <c r="D469" s="2"/>
    </row>
    <row r="470">
      <c r="D470" s="2"/>
    </row>
    <row r="471">
      <c r="D471" s="2"/>
    </row>
    <row r="472">
      <c r="D472" s="2"/>
    </row>
    <row r="473">
      <c r="D473" s="2"/>
    </row>
    <row r="474">
      <c r="D474" s="2"/>
    </row>
    <row r="475">
      <c r="D475" s="2"/>
    </row>
    <row r="476">
      <c r="D476" s="2"/>
    </row>
    <row r="477">
      <c r="D477" s="2"/>
    </row>
    <row r="478">
      <c r="D478" s="2"/>
    </row>
    <row r="479">
      <c r="D479" s="2"/>
    </row>
    <row r="480">
      <c r="D480" s="2"/>
    </row>
    <row r="481">
      <c r="D481" s="2"/>
    </row>
    <row r="482">
      <c r="D482" s="2"/>
    </row>
    <row r="483">
      <c r="D483" s="2"/>
    </row>
    <row r="484">
      <c r="D484" s="2"/>
    </row>
    <row r="485">
      <c r="D485" s="2"/>
    </row>
    <row r="486">
      <c r="D486" s="2"/>
    </row>
    <row r="487">
      <c r="D487" s="2"/>
    </row>
    <row r="488">
      <c r="D488" s="2"/>
    </row>
    <row r="489">
      <c r="D489" s="2"/>
    </row>
    <row r="490">
      <c r="D490" s="2"/>
    </row>
    <row r="491">
      <c r="D491" s="2"/>
    </row>
    <row r="492">
      <c r="D492" s="2"/>
    </row>
    <row r="493">
      <c r="D493" s="2"/>
    </row>
    <row r="494">
      <c r="D494" s="2"/>
    </row>
    <row r="495">
      <c r="D495" s="2"/>
    </row>
    <row r="496">
      <c r="D496" s="2"/>
    </row>
    <row r="497">
      <c r="D497" s="2"/>
    </row>
    <row r="498">
      <c r="D498" s="2"/>
    </row>
    <row r="499">
      <c r="D499" s="2"/>
    </row>
    <row r="500">
      <c r="D500" s="2"/>
    </row>
    <row r="501">
      <c r="D501" s="2"/>
    </row>
    <row r="502">
      <c r="D502" s="2"/>
    </row>
    <row r="503">
      <c r="D503" s="2"/>
    </row>
    <row r="504">
      <c r="D504" s="2"/>
    </row>
    <row r="505">
      <c r="D505" s="2"/>
    </row>
    <row r="506">
      <c r="D506" s="2"/>
    </row>
    <row r="507">
      <c r="D507" s="2"/>
    </row>
    <row r="508">
      <c r="D508" s="2"/>
    </row>
    <row r="509">
      <c r="D509" s="2"/>
    </row>
    <row r="510">
      <c r="D510" s="2"/>
    </row>
    <row r="511">
      <c r="D511" s="2"/>
    </row>
    <row r="512">
      <c r="D512" s="2"/>
    </row>
    <row r="513">
      <c r="D513" s="2"/>
    </row>
    <row r="514">
      <c r="D514" s="2"/>
    </row>
    <row r="515">
      <c r="D515" s="2"/>
    </row>
    <row r="516">
      <c r="D516" s="2"/>
    </row>
    <row r="517">
      <c r="D517" s="2"/>
    </row>
    <row r="518">
      <c r="D518" s="2"/>
    </row>
    <row r="519">
      <c r="D519" s="2"/>
    </row>
    <row r="520">
      <c r="D520" s="2"/>
    </row>
    <row r="521">
      <c r="D521" s="2"/>
    </row>
    <row r="522">
      <c r="D522" s="2"/>
    </row>
    <row r="523">
      <c r="D523" s="2"/>
    </row>
    <row r="524">
      <c r="D524" s="2"/>
    </row>
    <row r="525">
      <c r="D525" s="2"/>
    </row>
    <row r="526">
      <c r="D526" s="2"/>
    </row>
    <row r="527">
      <c r="D527" s="2"/>
    </row>
    <row r="528">
      <c r="D528" s="2"/>
    </row>
    <row r="529">
      <c r="D529" s="2"/>
    </row>
    <row r="530">
      <c r="D530" s="2"/>
    </row>
    <row r="531">
      <c r="D531" s="2"/>
    </row>
    <row r="532">
      <c r="D532" s="2"/>
    </row>
    <row r="533">
      <c r="D533" s="2"/>
    </row>
    <row r="534">
      <c r="D534" s="2"/>
    </row>
    <row r="535">
      <c r="D535" s="2"/>
    </row>
    <row r="536">
      <c r="D536" s="2"/>
    </row>
    <row r="537">
      <c r="D537" s="2"/>
    </row>
    <row r="538">
      <c r="D538" s="2"/>
    </row>
    <row r="539">
      <c r="D539" s="2"/>
    </row>
    <row r="540">
      <c r="D540" s="2"/>
    </row>
    <row r="541">
      <c r="D541" s="2"/>
    </row>
    <row r="542">
      <c r="D542" s="2"/>
    </row>
    <row r="543">
      <c r="D543" s="2"/>
    </row>
    <row r="544">
      <c r="D544" s="2"/>
    </row>
    <row r="545">
      <c r="D545" s="2"/>
    </row>
    <row r="546">
      <c r="D546" s="2"/>
    </row>
    <row r="547">
      <c r="D547" s="2"/>
    </row>
    <row r="548">
      <c r="D548" s="2"/>
    </row>
    <row r="549">
      <c r="D549" s="2"/>
    </row>
    <row r="550">
      <c r="D550" s="2"/>
    </row>
    <row r="551">
      <c r="D551" s="2"/>
    </row>
    <row r="552">
      <c r="D552" s="2"/>
    </row>
    <row r="553">
      <c r="D553" s="2"/>
    </row>
    <row r="554">
      <c r="D554" s="2"/>
    </row>
    <row r="555">
      <c r="D555" s="2"/>
    </row>
    <row r="556">
      <c r="D556" s="2"/>
    </row>
    <row r="557">
      <c r="D557" s="2"/>
    </row>
    <row r="558">
      <c r="D558" s="2"/>
    </row>
    <row r="559">
      <c r="D559" s="2"/>
    </row>
    <row r="560">
      <c r="D560" s="2"/>
    </row>
    <row r="561">
      <c r="D561" s="2"/>
    </row>
    <row r="562">
      <c r="D562" s="2"/>
    </row>
    <row r="563">
      <c r="D563" s="2"/>
    </row>
    <row r="564">
      <c r="D564" s="2"/>
    </row>
    <row r="565">
      <c r="D565" s="2"/>
    </row>
    <row r="566">
      <c r="D566" s="2"/>
    </row>
    <row r="567">
      <c r="D567" s="2"/>
    </row>
    <row r="568">
      <c r="D568" s="2"/>
    </row>
    <row r="569">
      <c r="D569" s="2"/>
    </row>
    <row r="570">
      <c r="D570" s="2"/>
    </row>
    <row r="571">
      <c r="D571" s="2"/>
    </row>
    <row r="572">
      <c r="D572" s="2"/>
    </row>
    <row r="573">
      <c r="D573" s="2"/>
    </row>
    <row r="574">
      <c r="D574" s="2"/>
    </row>
    <row r="575">
      <c r="D575" s="2"/>
    </row>
    <row r="576">
      <c r="D576" s="2"/>
    </row>
    <row r="577">
      <c r="D577" s="2"/>
    </row>
    <row r="578">
      <c r="D578" s="2"/>
    </row>
    <row r="579">
      <c r="D579" s="2"/>
    </row>
    <row r="580">
      <c r="D580" s="2"/>
    </row>
    <row r="581">
      <c r="D581" s="2"/>
    </row>
    <row r="582">
      <c r="D582" s="2"/>
    </row>
    <row r="583">
      <c r="D583" s="2"/>
    </row>
    <row r="584">
      <c r="D584" s="2"/>
    </row>
    <row r="585">
      <c r="D585" s="2"/>
    </row>
    <row r="586">
      <c r="D586" s="2"/>
    </row>
    <row r="587">
      <c r="D587" s="2"/>
    </row>
    <row r="588">
      <c r="D588" s="2"/>
    </row>
    <row r="589">
      <c r="D589" s="2"/>
    </row>
    <row r="590">
      <c r="D590" s="2"/>
    </row>
    <row r="591">
      <c r="D591" s="2"/>
    </row>
    <row r="592">
      <c r="D592" s="2"/>
    </row>
    <row r="593">
      <c r="D593" s="2"/>
    </row>
    <row r="594">
      <c r="D594" s="2"/>
    </row>
    <row r="595">
      <c r="D595" s="2"/>
    </row>
    <row r="596">
      <c r="D596" s="2"/>
    </row>
    <row r="597">
      <c r="D597" s="2"/>
    </row>
    <row r="598">
      <c r="D598" s="2"/>
    </row>
    <row r="599">
      <c r="D599" s="2"/>
    </row>
    <row r="600">
      <c r="D600" s="2"/>
    </row>
    <row r="601">
      <c r="D601" s="2"/>
    </row>
    <row r="602">
      <c r="D602" s="2"/>
    </row>
    <row r="603">
      <c r="D603" s="2"/>
    </row>
    <row r="604">
      <c r="D604" s="2"/>
    </row>
    <row r="605">
      <c r="D605" s="2"/>
    </row>
    <row r="606">
      <c r="D606" s="2"/>
    </row>
    <row r="607">
      <c r="D607" s="2"/>
    </row>
    <row r="608">
      <c r="D608" s="2"/>
    </row>
    <row r="609">
      <c r="D609" s="2"/>
    </row>
    <row r="610">
      <c r="D610" s="2"/>
    </row>
    <row r="611">
      <c r="D611" s="2"/>
    </row>
    <row r="612">
      <c r="D612" s="2"/>
    </row>
    <row r="613">
      <c r="D613" s="2"/>
    </row>
    <row r="614">
      <c r="D614" s="2"/>
    </row>
    <row r="615">
      <c r="D615" s="2"/>
    </row>
    <row r="616">
      <c r="D616" s="2"/>
    </row>
    <row r="617">
      <c r="D617" s="2"/>
    </row>
    <row r="618">
      <c r="D618" s="2"/>
    </row>
    <row r="619">
      <c r="D619" s="2"/>
    </row>
    <row r="620">
      <c r="D620" s="2"/>
    </row>
    <row r="621">
      <c r="D621" s="2"/>
    </row>
    <row r="622">
      <c r="D622" s="2"/>
    </row>
    <row r="623">
      <c r="D623" s="2"/>
    </row>
    <row r="624">
      <c r="D624" s="2"/>
    </row>
    <row r="625">
      <c r="D625" s="2"/>
    </row>
    <row r="626">
      <c r="D626" s="2"/>
    </row>
    <row r="627">
      <c r="D627" s="2"/>
    </row>
    <row r="628">
      <c r="D628" s="2"/>
    </row>
    <row r="629">
      <c r="D629" s="2"/>
    </row>
    <row r="630">
      <c r="D630" s="2"/>
    </row>
    <row r="631">
      <c r="D631" s="2"/>
    </row>
    <row r="632">
      <c r="D632" s="2"/>
    </row>
    <row r="633">
      <c r="D633" s="2"/>
    </row>
    <row r="634">
      <c r="D634" s="2"/>
    </row>
    <row r="635">
      <c r="D635" s="2"/>
    </row>
    <row r="636">
      <c r="D636" s="2"/>
    </row>
    <row r="637">
      <c r="D637" s="2"/>
    </row>
    <row r="638">
      <c r="D638" s="2"/>
    </row>
    <row r="639">
      <c r="D639" s="2"/>
    </row>
    <row r="640">
      <c r="D640" s="2"/>
    </row>
    <row r="641">
      <c r="D641" s="2"/>
    </row>
    <row r="642">
      <c r="D642" s="2"/>
    </row>
    <row r="643">
      <c r="D643" s="2"/>
    </row>
    <row r="644">
      <c r="D644" s="2"/>
    </row>
    <row r="645">
      <c r="D645" s="2"/>
    </row>
    <row r="646">
      <c r="D646" s="2"/>
    </row>
    <row r="647">
      <c r="D647" s="2"/>
    </row>
    <row r="648">
      <c r="D648" s="2"/>
    </row>
    <row r="649">
      <c r="D649" s="2"/>
    </row>
    <row r="650">
      <c r="D650" s="2"/>
    </row>
    <row r="651">
      <c r="D651" s="2"/>
    </row>
    <row r="652">
      <c r="D652" s="2"/>
    </row>
    <row r="653">
      <c r="D653" s="2"/>
    </row>
    <row r="654">
      <c r="D654" s="2"/>
    </row>
    <row r="655">
      <c r="D655" s="2"/>
    </row>
    <row r="656">
      <c r="D656" s="2"/>
    </row>
    <row r="657">
      <c r="D657" s="2"/>
    </row>
    <row r="658">
      <c r="D658" s="2"/>
    </row>
    <row r="659">
      <c r="D659" s="2"/>
    </row>
    <row r="660">
      <c r="D660" s="2"/>
    </row>
    <row r="661">
      <c r="D661" s="2"/>
    </row>
    <row r="662">
      <c r="D662" s="2"/>
    </row>
    <row r="663">
      <c r="D663" s="2"/>
    </row>
    <row r="664">
      <c r="D664" s="2"/>
    </row>
    <row r="665">
      <c r="D665" s="2"/>
    </row>
    <row r="666">
      <c r="D666" s="2"/>
    </row>
    <row r="667">
      <c r="D667" s="2"/>
    </row>
    <row r="668">
      <c r="D668" s="2"/>
    </row>
    <row r="669">
      <c r="D669" s="2"/>
    </row>
    <row r="670">
      <c r="D670" s="2"/>
    </row>
    <row r="671">
      <c r="D671" s="2"/>
    </row>
    <row r="672">
      <c r="D672" s="2"/>
    </row>
    <row r="673">
      <c r="D673" s="2"/>
    </row>
    <row r="674">
      <c r="D674" s="2"/>
    </row>
    <row r="675">
      <c r="D675" s="2"/>
    </row>
    <row r="676">
      <c r="D676" s="2"/>
    </row>
    <row r="677">
      <c r="D677" s="2"/>
    </row>
    <row r="678">
      <c r="D678" s="2"/>
    </row>
    <row r="679">
      <c r="D679" s="2"/>
    </row>
    <row r="680">
      <c r="D680" s="2"/>
    </row>
    <row r="681">
      <c r="D681" s="2"/>
    </row>
    <row r="682">
      <c r="D682" s="2"/>
    </row>
    <row r="683">
      <c r="D683" s="2"/>
    </row>
    <row r="684">
      <c r="D684" s="2"/>
    </row>
    <row r="685">
      <c r="D685" s="2"/>
    </row>
    <row r="686">
      <c r="D686" s="2"/>
    </row>
    <row r="687">
      <c r="D687" s="2"/>
    </row>
    <row r="688">
      <c r="D688" s="2"/>
    </row>
    <row r="689">
      <c r="D689" s="2"/>
    </row>
    <row r="690">
      <c r="D690" s="2"/>
    </row>
    <row r="691">
      <c r="D691" s="2"/>
    </row>
    <row r="692">
      <c r="D692" s="2"/>
    </row>
    <row r="693">
      <c r="D693" s="2"/>
    </row>
    <row r="694">
      <c r="D694" s="2"/>
    </row>
    <row r="695">
      <c r="D695" s="2"/>
    </row>
    <row r="696">
      <c r="D696" s="2"/>
    </row>
    <row r="697">
      <c r="D697" s="2"/>
    </row>
    <row r="698">
      <c r="D698" s="2"/>
    </row>
    <row r="699">
      <c r="D699" s="2"/>
    </row>
    <row r="700">
      <c r="D700" s="2"/>
    </row>
    <row r="701">
      <c r="D701" s="2"/>
    </row>
    <row r="702">
      <c r="D702" s="2"/>
    </row>
    <row r="703">
      <c r="D703" s="2"/>
    </row>
    <row r="704">
      <c r="D704" s="2"/>
    </row>
    <row r="705">
      <c r="D705" s="2"/>
    </row>
    <row r="706">
      <c r="D706" s="2"/>
    </row>
    <row r="707">
      <c r="D707" s="2"/>
    </row>
    <row r="708">
      <c r="D708" s="2"/>
    </row>
    <row r="709">
      <c r="D709" s="2"/>
    </row>
    <row r="710">
      <c r="D710" s="2"/>
    </row>
    <row r="711">
      <c r="D711" s="2"/>
    </row>
    <row r="712">
      <c r="D712" s="2"/>
    </row>
    <row r="713">
      <c r="D713" s="2"/>
    </row>
    <row r="714">
      <c r="D714" s="2"/>
    </row>
    <row r="715">
      <c r="D715" s="2"/>
    </row>
    <row r="716">
      <c r="D716" s="2"/>
    </row>
    <row r="717">
      <c r="D717" s="2"/>
    </row>
    <row r="718">
      <c r="D718" s="2"/>
    </row>
    <row r="719">
      <c r="D719" s="2"/>
    </row>
    <row r="720">
      <c r="D720" s="2"/>
    </row>
    <row r="721">
      <c r="D721" s="2"/>
    </row>
    <row r="722">
      <c r="D722" s="2"/>
    </row>
    <row r="723">
      <c r="D723" s="2"/>
    </row>
    <row r="724">
      <c r="D724" s="2"/>
    </row>
    <row r="725">
      <c r="D725" s="2"/>
    </row>
    <row r="726">
      <c r="D726" s="2"/>
    </row>
    <row r="727">
      <c r="D727" s="2"/>
    </row>
    <row r="728">
      <c r="D728" s="2"/>
    </row>
    <row r="729">
      <c r="D729" s="2"/>
    </row>
    <row r="730">
      <c r="D730" s="2"/>
    </row>
    <row r="731">
      <c r="D731" s="2"/>
    </row>
    <row r="732">
      <c r="D732" s="2"/>
    </row>
    <row r="733">
      <c r="D733" s="2"/>
    </row>
    <row r="734">
      <c r="D734" s="2"/>
    </row>
    <row r="735">
      <c r="D735" s="2"/>
    </row>
    <row r="736">
      <c r="D736" s="2"/>
    </row>
    <row r="737">
      <c r="D737" s="2"/>
    </row>
    <row r="738">
      <c r="D738" s="2"/>
    </row>
    <row r="739">
      <c r="D739" s="2"/>
    </row>
    <row r="740">
      <c r="D740" s="2"/>
    </row>
    <row r="741">
      <c r="D741" s="2"/>
    </row>
    <row r="742">
      <c r="D742" s="2"/>
    </row>
    <row r="743">
      <c r="D743" s="2"/>
    </row>
    <row r="744">
      <c r="D744" s="2"/>
    </row>
    <row r="745">
      <c r="D745" s="2"/>
    </row>
    <row r="746">
      <c r="D746" s="2"/>
    </row>
    <row r="747">
      <c r="D747" s="2"/>
    </row>
    <row r="748">
      <c r="D748" s="2"/>
    </row>
    <row r="749">
      <c r="D749" s="2"/>
    </row>
    <row r="750">
      <c r="D750" s="2"/>
    </row>
    <row r="751">
      <c r="D751" s="2"/>
    </row>
    <row r="752">
      <c r="D752" s="2"/>
    </row>
    <row r="753">
      <c r="D753" s="2"/>
    </row>
    <row r="754">
      <c r="D754" s="2"/>
    </row>
    <row r="755">
      <c r="D755" s="2"/>
    </row>
    <row r="756">
      <c r="D756" s="2"/>
    </row>
    <row r="757">
      <c r="D757" s="2"/>
    </row>
    <row r="758">
      <c r="D758" s="2"/>
    </row>
    <row r="759">
      <c r="D759" s="2"/>
    </row>
    <row r="760">
      <c r="D760" s="2"/>
    </row>
    <row r="761">
      <c r="D761" s="2"/>
    </row>
    <row r="762">
      <c r="D762" s="2"/>
    </row>
    <row r="763">
      <c r="D763" s="2"/>
    </row>
    <row r="764">
      <c r="D764" s="2"/>
    </row>
    <row r="765">
      <c r="D765" s="2"/>
    </row>
    <row r="766">
      <c r="D766" s="2"/>
    </row>
    <row r="767">
      <c r="D767" s="2"/>
    </row>
    <row r="768">
      <c r="D768" s="2"/>
    </row>
    <row r="769">
      <c r="D769" s="2"/>
    </row>
    <row r="770">
      <c r="D770" s="2"/>
    </row>
    <row r="771">
      <c r="D771" s="2"/>
    </row>
    <row r="772">
      <c r="D772" s="2"/>
    </row>
    <row r="773">
      <c r="D773" s="2"/>
    </row>
    <row r="774">
      <c r="D774" s="2"/>
    </row>
    <row r="775">
      <c r="D775" s="2"/>
    </row>
    <row r="776">
      <c r="D776" s="2"/>
    </row>
    <row r="777">
      <c r="D777" s="2"/>
    </row>
    <row r="778">
      <c r="D778" s="2"/>
    </row>
    <row r="779">
      <c r="D779" s="2"/>
    </row>
    <row r="780">
      <c r="D780" s="2"/>
    </row>
    <row r="781">
      <c r="D781" s="2"/>
    </row>
    <row r="782">
      <c r="D782" s="2"/>
    </row>
    <row r="783">
      <c r="D783" s="2"/>
    </row>
    <row r="784">
      <c r="D784" s="2"/>
    </row>
    <row r="785">
      <c r="D785" s="2"/>
    </row>
    <row r="786">
      <c r="D786" s="2"/>
    </row>
    <row r="787">
      <c r="D787" s="2"/>
    </row>
    <row r="788">
      <c r="D788" s="2"/>
    </row>
    <row r="789">
      <c r="D789" s="2"/>
    </row>
    <row r="790">
      <c r="D790" s="2"/>
    </row>
    <row r="791">
      <c r="D791" s="2"/>
    </row>
    <row r="792">
      <c r="D792" s="2"/>
    </row>
    <row r="793">
      <c r="D793" s="2"/>
    </row>
    <row r="794">
      <c r="D794" s="2"/>
    </row>
    <row r="795">
      <c r="D795" s="2"/>
    </row>
    <row r="796">
      <c r="D796" s="2"/>
    </row>
    <row r="797">
      <c r="D797" s="2"/>
    </row>
    <row r="798">
      <c r="D798" s="2"/>
    </row>
    <row r="799">
      <c r="D799" s="2"/>
    </row>
    <row r="800">
      <c r="D800" s="2"/>
    </row>
    <row r="801">
      <c r="D801" s="2"/>
    </row>
    <row r="802">
      <c r="D802" s="2"/>
    </row>
    <row r="803">
      <c r="D803" s="2"/>
    </row>
    <row r="804">
      <c r="D804" s="2"/>
    </row>
    <row r="805">
      <c r="D805" s="2"/>
    </row>
    <row r="806">
      <c r="D806" s="2"/>
    </row>
    <row r="807">
      <c r="D807" s="2"/>
    </row>
    <row r="808">
      <c r="D808" s="2"/>
    </row>
    <row r="809">
      <c r="D809" s="2"/>
    </row>
    <row r="810">
      <c r="D810" s="2"/>
    </row>
    <row r="811">
      <c r="D811" s="2"/>
    </row>
    <row r="812">
      <c r="D812" s="2"/>
    </row>
    <row r="813">
      <c r="D813" s="2"/>
    </row>
    <row r="814">
      <c r="D814" s="2"/>
    </row>
    <row r="815">
      <c r="D815" s="2"/>
    </row>
    <row r="816">
      <c r="D816" s="2"/>
    </row>
    <row r="817">
      <c r="D817" s="2"/>
    </row>
    <row r="818">
      <c r="D818" s="2"/>
    </row>
    <row r="819">
      <c r="D819" s="2"/>
    </row>
    <row r="820">
      <c r="D820" s="2"/>
    </row>
    <row r="821">
      <c r="D821" s="2"/>
    </row>
    <row r="822">
      <c r="D822" s="2"/>
    </row>
    <row r="823">
      <c r="D823" s="2"/>
    </row>
    <row r="824">
      <c r="D824" s="2"/>
    </row>
    <row r="825">
      <c r="D825" s="2"/>
    </row>
    <row r="826">
      <c r="D826" s="2"/>
    </row>
    <row r="827">
      <c r="D827" s="2"/>
    </row>
    <row r="828">
      <c r="D828" s="2"/>
    </row>
    <row r="829">
      <c r="D829" s="2"/>
    </row>
    <row r="830">
      <c r="D830" s="2"/>
    </row>
    <row r="831">
      <c r="D831" s="2"/>
    </row>
    <row r="832">
      <c r="D832" s="2"/>
    </row>
    <row r="833">
      <c r="D833" s="2"/>
    </row>
    <row r="834">
      <c r="D834" s="2"/>
    </row>
    <row r="835">
      <c r="D835" s="2"/>
    </row>
    <row r="836">
      <c r="D836" s="2"/>
    </row>
    <row r="837">
      <c r="D837" s="2"/>
    </row>
    <row r="838">
      <c r="D838" s="2"/>
    </row>
    <row r="839">
      <c r="D839" s="2"/>
    </row>
    <row r="840">
      <c r="D840" s="2"/>
    </row>
    <row r="841">
      <c r="D841" s="2"/>
    </row>
    <row r="842">
      <c r="D842" s="2"/>
    </row>
    <row r="843">
      <c r="D843" s="2"/>
    </row>
    <row r="844">
      <c r="D844" s="2"/>
    </row>
    <row r="845">
      <c r="D845" s="2"/>
    </row>
    <row r="846">
      <c r="D846" s="2"/>
    </row>
    <row r="847">
      <c r="D847" s="2"/>
    </row>
    <row r="848">
      <c r="D848" s="2"/>
    </row>
    <row r="849">
      <c r="D849" s="2"/>
    </row>
    <row r="850">
      <c r="D850" s="2"/>
    </row>
    <row r="851">
      <c r="D851" s="2"/>
    </row>
    <row r="852">
      <c r="D852" s="2"/>
    </row>
    <row r="853">
      <c r="D853" s="2"/>
    </row>
    <row r="854">
      <c r="D854" s="2"/>
    </row>
    <row r="855">
      <c r="D855" s="2"/>
    </row>
    <row r="856">
      <c r="D856" s="2"/>
    </row>
    <row r="857">
      <c r="D857" s="2"/>
    </row>
    <row r="858">
      <c r="D858" s="2"/>
    </row>
    <row r="859">
      <c r="D859" s="2"/>
    </row>
    <row r="860">
      <c r="D860" s="2"/>
    </row>
    <row r="861">
      <c r="D861" s="2"/>
    </row>
    <row r="862">
      <c r="D862" s="2"/>
    </row>
    <row r="863">
      <c r="D863" s="2"/>
    </row>
    <row r="864">
      <c r="D864" s="2"/>
    </row>
    <row r="865">
      <c r="D865" s="2"/>
    </row>
    <row r="866">
      <c r="D866" s="2"/>
    </row>
    <row r="867">
      <c r="D867" s="2"/>
    </row>
    <row r="868">
      <c r="D868" s="2"/>
    </row>
    <row r="869">
      <c r="D869" s="2"/>
    </row>
    <row r="870">
      <c r="D870" s="2"/>
    </row>
    <row r="871">
      <c r="D871" s="2"/>
    </row>
    <row r="872">
      <c r="D872" s="2"/>
    </row>
    <row r="873">
      <c r="D873" s="2"/>
    </row>
    <row r="874">
      <c r="D874" s="2"/>
    </row>
    <row r="875">
      <c r="D875" s="2"/>
    </row>
    <row r="876">
      <c r="D876" s="2"/>
    </row>
    <row r="877">
      <c r="D877" s="2"/>
    </row>
    <row r="878">
      <c r="D878" s="2"/>
    </row>
    <row r="879">
      <c r="D879" s="2"/>
    </row>
    <row r="880">
      <c r="D880" s="2"/>
    </row>
    <row r="881">
      <c r="D881" s="2"/>
    </row>
    <row r="882">
      <c r="D882" s="2"/>
    </row>
    <row r="883">
      <c r="D883" s="2"/>
    </row>
    <row r="884">
      <c r="D884" s="2"/>
    </row>
    <row r="885">
      <c r="D885" s="2"/>
    </row>
    <row r="886">
      <c r="D886" s="2"/>
    </row>
    <row r="887">
      <c r="D887" s="2"/>
    </row>
    <row r="888">
      <c r="D888" s="2"/>
    </row>
    <row r="889">
      <c r="D889" s="2"/>
    </row>
    <row r="890">
      <c r="D890" s="2"/>
    </row>
    <row r="891">
      <c r="D891" s="2"/>
    </row>
    <row r="892">
      <c r="D892" s="2"/>
    </row>
    <row r="893">
      <c r="D893" s="2"/>
    </row>
    <row r="894">
      <c r="D894" s="2"/>
    </row>
    <row r="895">
      <c r="D895" s="2"/>
    </row>
    <row r="896">
      <c r="D896" s="2"/>
    </row>
    <row r="897">
      <c r="D897" s="2"/>
    </row>
    <row r="898">
      <c r="D898" s="2"/>
    </row>
    <row r="899">
      <c r="D899" s="2"/>
    </row>
    <row r="900">
      <c r="D900" s="2"/>
    </row>
    <row r="901">
      <c r="D901" s="2"/>
    </row>
    <row r="902">
      <c r="D902" s="2"/>
    </row>
    <row r="903">
      <c r="D903" s="2"/>
    </row>
    <row r="904">
      <c r="D904" s="2"/>
    </row>
    <row r="905">
      <c r="D905" s="2"/>
    </row>
    <row r="906">
      <c r="D906" s="2"/>
    </row>
    <row r="907">
      <c r="D907" s="2"/>
    </row>
    <row r="908">
      <c r="D908" s="2"/>
    </row>
    <row r="909">
      <c r="D909" s="2"/>
    </row>
    <row r="910">
      <c r="D910" s="2"/>
    </row>
    <row r="911">
      <c r="D911" s="2"/>
    </row>
    <row r="912">
      <c r="D912" s="2"/>
    </row>
    <row r="913">
      <c r="D913" s="2"/>
    </row>
    <row r="914">
      <c r="D914" s="2"/>
    </row>
    <row r="915">
      <c r="D915" s="2"/>
    </row>
    <row r="916">
      <c r="D916" s="2"/>
    </row>
    <row r="917">
      <c r="D917" s="2"/>
    </row>
    <row r="918">
      <c r="D918" s="2"/>
    </row>
    <row r="919">
      <c r="D919" s="2"/>
    </row>
    <row r="920">
      <c r="D920" s="2"/>
    </row>
    <row r="921">
      <c r="D921" s="2"/>
    </row>
    <row r="922">
      <c r="D922" s="2"/>
    </row>
    <row r="923">
      <c r="D923" s="2"/>
    </row>
    <row r="924">
      <c r="D924" s="2"/>
    </row>
    <row r="925">
      <c r="D925" s="2"/>
    </row>
    <row r="926">
      <c r="D926" s="2"/>
    </row>
    <row r="927">
      <c r="D927" s="2"/>
    </row>
    <row r="928">
      <c r="D928" s="2"/>
    </row>
    <row r="929">
      <c r="D929" s="2"/>
    </row>
    <row r="930">
      <c r="D930" s="2"/>
    </row>
    <row r="931">
      <c r="D931" s="2"/>
    </row>
    <row r="932">
      <c r="D932" s="2"/>
    </row>
    <row r="933">
      <c r="D933" s="2"/>
    </row>
    <row r="934">
      <c r="D934" s="2"/>
    </row>
    <row r="935">
      <c r="D935" s="2"/>
    </row>
    <row r="936">
      <c r="D936" s="2"/>
    </row>
    <row r="937">
      <c r="D937" s="2"/>
    </row>
    <row r="938">
      <c r="D938" s="2"/>
    </row>
    <row r="939">
      <c r="D939" s="2"/>
    </row>
    <row r="940">
      <c r="D940" s="2"/>
    </row>
    <row r="941">
      <c r="D941" s="2"/>
    </row>
    <row r="942">
      <c r="D942" s="2"/>
    </row>
    <row r="943">
      <c r="D943" s="2"/>
    </row>
    <row r="944">
      <c r="D944" s="2"/>
    </row>
    <row r="945">
      <c r="D945" s="2"/>
    </row>
    <row r="946">
      <c r="D946" s="2"/>
    </row>
    <row r="947">
      <c r="D947" s="2"/>
    </row>
    <row r="948">
      <c r="D948" s="2"/>
    </row>
    <row r="949">
      <c r="D949" s="2"/>
    </row>
    <row r="950">
      <c r="D950" s="2"/>
    </row>
    <row r="951">
      <c r="D951" s="2"/>
    </row>
    <row r="952">
      <c r="D952" s="2"/>
    </row>
    <row r="953">
      <c r="D953" s="2"/>
    </row>
    <row r="954">
      <c r="D954" s="2"/>
    </row>
    <row r="955">
      <c r="D955" s="2"/>
    </row>
    <row r="956">
      <c r="D956" s="2"/>
    </row>
    <row r="957">
      <c r="D957" s="2"/>
    </row>
    <row r="958">
      <c r="D958" s="2"/>
    </row>
    <row r="959">
      <c r="D959" s="2"/>
    </row>
    <row r="960">
      <c r="D960" s="2"/>
    </row>
    <row r="961">
      <c r="D961" s="2"/>
    </row>
    <row r="962">
      <c r="D962" s="2"/>
    </row>
    <row r="963">
      <c r="D963" s="2"/>
    </row>
    <row r="964">
      <c r="D964" s="2"/>
    </row>
    <row r="965">
      <c r="D965" s="2"/>
    </row>
    <row r="966">
      <c r="D966" s="2"/>
    </row>
    <row r="967">
      <c r="D967" s="2"/>
    </row>
    <row r="968">
      <c r="D968" s="2"/>
    </row>
    <row r="969">
      <c r="D969" s="2"/>
    </row>
    <row r="970">
      <c r="D970" s="2"/>
    </row>
    <row r="971">
      <c r="D971" s="2"/>
    </row>
    <row r="972">
      <c r="D972" s="2"/>
    </row>
    <row r="973">
      <c r="D973" s="2"/>
    </row>
    <row r="974">
      <c r="D974" s="2"/>
    </row>
    <row r="975">
      <c r="D975" s="2"/>
    </row>
    <row r="976">
      <c r="D976" s="2"/>
    </row>
    <row r="977">
      <c r="D977" s="2"/>
    </row>
    <row r="978">
      <c r="D978" s="2"/>
    </row>
    <row r="979">
      <c r="D979" s="2"/>
    </row>
    <row r="980">
      <c r="D980" s="2"/>
    </row>
    <row r="981">
      <c r="D981" s="2"/>
    </row>
    <row r="982">
      <c r="D982" s="2"/>
    </row>
    <row r="983">
      <c r="D983" s="2"/>
    </row>
    <row r="984">
      <c r="D984" s="2"/>
    </row>
    <row r="985">
      <c r="D985" s="2"/>
    </row>
    <row r="986">
      <c r="D986" s="2"/>
    </row>
    <row r="987">
      <c r="D987" s="2"/>
    </row>
    <row r="988">
      <c r="D988" s="2"/>
    </row>
    <row r="989">
      <c r="D989" s="2"/>
    </row>
    <row r="990">
      <c r="D990" s="2"/>
    </row>
    <row r="991">
      <c r="D991" s="2"/>
    </row>
    <row r="992">
      <c r="D992" s="2"/>
    </row>
    <row r="993">
      <c r="D993" s="2"/>
    </row>
    <row r="994">
      <c r="D994" s="2"/>
    </row>
    <row r="995">
      <c r="D995" s="2"/>
    </row>
    <row r="996">
      <c r="D996" s="2"/>
    </row>
    <row r="997">
      <c r="D997" s="2"/>
    </row>
    <row r="998">
      <c r="D998" s="2"/>
    </row>
    <row r="999">
      <c r="D999" s="2"/>
    </row>
    <row r="1000">
      <c r="D1000" s="2"/>
    </row>
    <row r="1001">
      <c r="D1001" s="2"/>
    </row>
    <row r="1002">
      <c r="D1002" s="2"/>
    </row>
    <row r="1003">
      <c r="D1003" s="2"/>
    </row>
    <row r="1004">
      <c r="D1004" s="2"/>
    </row>
    <row r="1005">
      <c r="D1005" s="2"/>
    </row>
    <row r="1006">
      <c r="D1006" s="2"/>
    </row>
    <row r="1007">
      <c r="D1007" s="2"/>
    </row>
  </sheetData>
  <drawing r:id="rId4"/>
  <legacy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30.88"/>
  </cols>
  <sheetData>
    <row r="1">
      <c r="A1" s="65" t="s">
        <v>60</v>
      </c>
      <c r="B1" s="22" t="s">
        <v>62</v>
      </c>
      <c r="C1" s="18" t="s">
        <v>48</v>
      </c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65">
        <v>45274.0</v>
      </c>
      <c r="B2" s="5" t="s">
        <v>631</v>
      </c>
      <c r="C2" s="8">
        <v>20.0</v>
      </c>
      <c r="F2" s="4" t="s">
        <v>632</v>
      </c>
      <c r="G2" s="2">
        <f>SUM(C2:C1003)</f>
        <v>890</v>
      </c>
    </row>
    <row r="3">
      <c r="A3" s="65">
        <v>45638.0</v>
      </c>
      <c r="B3" s="5" t="s">
        <v>631</v>
      </c>
      <c r="C3" s="8">
        <v>20.0</v>
      </c>
      <c r="F3" s="4"/>
    </row>
    <row r="4">
      <c r="A4" s="65">
        <v>45300.0</v>
      </c>
      <c r="B4" s="5" t="s">
        <v>633</v>
      </c>
      <c r="C4" s="8">
        <v>20.0</v>
      </c>
      <c r="F4" s="4"/>
    </row>
    <row r="5">
      <c r="A5" s="65">
        <v>45303.0</v>
      </c>
      <c r="B5" s="5" t="s">
        <v>631</v>
      </c>
      <c r="C5" s="8">
        <v>20.0</v>
      </c>
    </row>
    <row r="6">
      <c r="A6" s="65">
        <v>45384.0</v>
      </c>
      <c r="B6" s="5" t="s">
        <v>631</v>
      </c>
      <c r="C6" s="8">
        <v>20.0</v>
      </c>
    </row>
    <row r="7">
      <c r="A7" s="65">
        <v>45470.0</v>
      </c>
      <c r="B7" s="5" t="s">
        <v>634</v>
      </c>
      <c r="C7" s="8">
        <v>20.0</v>
      </c>
    </row>
    <row r="8">
      <c r="A8" s="61">
        <v>45488.0</v>
      </c>
      <c r="B8" s="5" t="s">
        <v>634</v>
      </c>
      <c r="C8" s="12">
        <v>20.0</v>
      </c>
    </row>
    <row r="9">
      <c r="A9" s="61">
        <v>45534.0</v>
      </c>
      <c r="B9" s="4" t="s">
        <v>631</v>
      </c>
      <c r="C9" s="12">
        <v>10.0</v>
      </c>
    </row>
    <row r="10">
      <c r="A10" s="61">
        <v>45572.0</v>
      </c>
      <c r="B10" s="4" t="s">
        <v>631</v>
      </c>
      <c r="C10" s="12">
        <v>10.0</v>
      </c>
    </row>
    <row r="11">
      <c r="A11" s="61">
        <v>45602.0</v>
      </c>
      <c r="B11" s="4" t="s">
        <v>631</v>
      </c>
      <c r="C11" s="12">
        <v>10.0</v>
      </c>
    </row>
    <row r="12">
      <c r="A12" s="61">
        <v>45602.0</v>
      </c>
      <c r="B12" s="4" t="s">
        <v>631</v>
      </c>
      <c r="C12" s="12">
        <v>10.0</v>
      </c>
    </row>
    <row r="13">
      <c r="A13" s="61">
        <v>45695.0</v>
      </c>
      <c r="B13" s="4" t="s">
        <v>631</v>
      </c>
      <c r="C13" s="12">
        <v>10.0</v>
      </c>
    </row>
    <row r="14">
      <c r="A14" s="61">
        <v>45706.0</v>
      </c>
      <c r="B14" s="4" t="s">
        <v>635</v>
      </c>
      <c r="C14" s="12">
        <v>35.0</v>
      </c>
    </row>
    <row r="15">
      <c r="A15" s="61">
        <v>45733.0</v>
      </c>
      <c r="B15" s="4" t="s">
        <v>631</v>
      </c>
      <c r="C15" s="12">
        <v>10.0</v>
      </c>
    </row>
    <row r="16">
      <c r="A16" s="61">
        <v>45733.0</v>
      </c>
      <c r="B16" s="4" t="s">
        <v>631</v>
      </c>
      <c r="C16" s="12">
        <v>10.0</v>
      </c>
    </row>
    <row r="17">
      <c r="A17" s="61">
        <v>45749.0</v>
      </c>
      <c r="B17" s="4" t="s">
        <v>631</v>
      </c>
      <c r="C17" s="12">
        <v>10.0</v>
      </c>
    </row>
    <row r="18">
      <c r="A18" s="61">
        <v>45775.0</v>
      </c>
      <c r="B18" s="4" t="s">
        <v>634</v>
      </c>
      <c r="C18" s="12">
        <v>20.0</v>
      </c>
    </row>
    <row r="19">
      <c r="A19" s="61">
        <v>45775.0</v>
      </c>
      <c r="B19" s="4" t="s">
        <v>634</v>
      </c>
      <c r="C19" s="12">
        <v>20.0</v>
      </c>
    </row>
    <row r="20">
      <c r="A20" s="61">
        <v>45783.0</v>
      </c>
      <c r="B20" s="4" t="s">
        <v>631</v>
      </c>
      <c r="C20" s="12">
        <v>10.0</v>
      </c>
    </row>
    <row r="21">
      <c r="A21" s="61">
        <v>45804.0</v>
      </c>
      <c r="B21" s="4" t="s">
        <v>634</v>
      </c>
      <c r="C21" s="12">
        <v>20.0</v>
      </c>
    </row>
    <row r="22">
      <c r="A22" s="61">
        <v>45804.0</v>
      </c>
      <c r="B22" s="4" t="s">
        <v>634</v>
      </c>
      <c r="C22" s="12">
        <v>20.0</v>
      </c>
    </row>
    <row r="23">
      <c r="A23" s="61">
        <v>45819.0</v>
      </c>
      <c r="B23" s="4" t="s">
        <v>631</v>
      </c>
      <c r="C23" s="12">
        <v>10.0</v>
      </c>
    </row>
    <row r="24">
      <c r="A24" s="61">
        <v>45835.0</v>
      </c>
      <c r="B24" s="4" t="s">
        <v>634</v>
      </c>
      <c r="C24" s="12">
        <v>20.0</v>
      </c>
    </row>
    <row r="25">
      <c r="A25" s="61">
        <v>45838.0</v>
      </c>
      <c r="B25" s="4" t="s">
        <v>634</v>
      </c>
      <c r="C25" s="12">
        <v>20.0</v>
      </c>
    </row>
    <row r="26">
      <c r="A26" s="61">
        <v>45838.0</v>
      </c>
      <c r="B26" s="4" t="s">
        <v>634</v>
      </c>
      <c r="C26" s="12">
        <v>20.0</v>
      </c>
    </row>
    <row r="27">
      <c r="A27" s="61">
        <v>45838.0</v>
      </c>
      <c r="B27" s="4" t="s">
        <v>634</v>
      </c>
      <c r="C27" s="12">
        <v>20.0</v>
      </c>
    </row>
    <row r="28">
      <c r="A28" s="61">
        <v>45838.0</v>
      </c>
      <c r="B28" s="4" t="s">
        <v>634</v>
      </c>
      <c r="C28" s="12">
        <v>20.0</v>
      </c>
    </row>
    <row r="29">
      <c r="A29" s="61">
        <v>45838.0</v>
      </c>
      <c r="B29" s="4" t="s">
        <v>634</v>
      </c>
      <c r="C29" s="12">
        <v>20.0</v>
      </c>
    </row>
    <row r="30">
      <c r="A30" s="61">
        <v>45838.0</v>
      </c>
      <c r="B30" s="4" t="s">
        <v>634</v>
      </c>
      <c r="C30" s="12">
        <v>20.0</v>
      </c>
    </row>
    <row r="31">
      <c r="A31" s="61">
        <v>45838.0</v>
      </c>
      <c r="B31" s="4" t="s">
        <v>634</v>
      </c>
      <c r="C31" s="12">
        <v>20.0</v>
      </c>
    </row>
    <row r="32">
      <c r="A32" s="61">
        <v>45846.0</v>
      </c>
      <c r="B32" s="4" t="s">
        <v>634</v>
      </c>
      <c r="C32" s="12">
        <v>20.0</v>
      </c>
    </row>
    <row r="33">
      <c r="A33" s="61">
        <v>45846.0</v>
      </c>
      <c r="B33" s="4" t="s">
        <v>634</v>
      </c>
      <c r="C33" s="12">
        <v>20.0</v>
      </c>
    </row>
    <row r="34">
      <c r="A34" s="61">
        <v>45854.0</v>
      </c>
      <c r="B34" s="4" t="s">
        <v>631</v>
      </c>
      <c r="C34" s="12">
        <v>10.0</v>
      </c>
    </row>
    <row r="35">
      <c r="A35" s="61">
        <v>45866.0</v>
      </c>
      <c r="B35" s="4" t="s">
        <v>634</v>
      </c>
      <c r="C35" s="12">
        <v>20.0</v>
      </c>
    </row>
    <row r="36">
      <c r="A36" s="61">
        <v>45887.0</v>
      </c>
      <c r="B36" s="4" t="s">
        <v>631</v>
      </c>
      <c r="C36" s="12">
        <v>10.0</v>
      </c>
    </row>
    <row r="37">
      <c r="A37" s="61">
        <v>45904.0</v>
      </c>
      <c r="B37" s="4" t="s">
        <v>635</v>
      </c>
      <c r="C37" s="12">
        <v>35.0</v>
      </c>
    </row>
    <row r="38">
      <c r="A38" s="61">
        <v>45924.0</v>
      </c>
      <c r="B38" s="4" t="s">
        <v>631</v>
      </c>
      <c r="C38" s="12">
        <v>10.0</v>
      </c>
    </row>
    <row r="39">
      <c r="A39" s="61">
        <v>45933.0</v>
      </c>
      <c r="B39" s="4" t="s">
        <v>634</v>
      </c>
      <c r="C39" s="12">
        <v>20.0</v>
      </c>
    </row>
    <row r="40">
      <c r="A40" s="61">
        <v>45938.0</v>
      </c>
      <c r="B40" s="4" t="s">
        <v>631</v>
      </c>
      <c r="C40" s="12">
        <v>10.0</v>
      </c>
    </row>
    <row r="41">
      <c r="A41" s="61">
        <v>45954.0</v>
      </c>
      <c r="B41" s="4" t="s">
        <v>631</v>
      </c>
      <c r="C41" s="12">
        <v>10.0</v>
      </c>
    </row>
    <row r="42">
      <c r="A42" s="61">
        <v>45978.0</v>
      </c>
      <c r="B42" s="4" t="s">
        <v>634</v>
      </c>
      <c r="C42" s="12">
        <v>20.0</v>
      </c>
    </row>
    <row r="43">
      <c r="A43" s="61">
        <v>46006.0</v>
      </c>
      <c r="B43" s="4" t="s">
        <v>634</v>
      </c>
      <c r="C43" s="12">
        <v>20.0</v>
      </c>
    </row>
    <row r="44">
      <c r="A44" s="61">
        <v>46007.0</v>
      </c>
      <c r="B44" s="4" t="s">
        <v>636</v>
      </c>
      <c r="C44" s="12">
        <v>-20.0</v>
      </c>
    </row>
    <row r="45">
      <c r="A45" s="61">
        <v>46021.0</v>
      </c>
      <c r="B45" s="4" t="s">
        <v>634</v>
      </c>
      <c r="C45" s="12">
        <v>20.0</v>
      </c>
    </row>
    <row r="46">
      <c r="A46" s="61">
        <v>46035.0</v>
      </c>
      <c r="B46" s="4" t="s">
        <v>634</v>
      </c>
      <c r="C46" s="12">
        <v>20.0</v>
      </c>
    </row>
    <row r="47">
      <c r="A47" s="61">
        <v>46048.0</v>
      </c>
      <c r="B47" s="4" t="s">
        <v>634</v>
      </c>
      <c r="C47" s="12">
        <v>20.0</v>
      </c>
    </row>
    <row r="48">
      <c r="A48" s="61">
        <v>46055.0</v>
      </c>
      <c r="B48" s="4" t="s">
        <v>634</v>
      </c>
      <c r="C48" s="12">
        <v>20.0</v>
      </c>
    </row>
    <row r="49">
      <c r="A49" s="61">
        <v>46058.0</v>
      </c>
      <c r="B49" s="4" t="s">
        <v>634</v>
      </c>
      <c r="C49" s="12">
        <v>20.0</v>
      </c>
    </row>
    <row r="50">
      <c r="A50" s="61">
        <v>46070.0</v>
      </c>
      <c r="B50" s="4" t="s">
        <v>634</v>
      </c>
      <c r="C50" s="12">
        <v>20.0</v>
      </c>
    </row>
    <row r="51">
      <c r="A51" s="61">
        <v>46077.0</v>
      </c>
      <c r="B51" s="4" t="s">
        <v>631</v>
      </c>
      <c r="C51" s="12">
        <v>10.0</v>
      </c>
    </row>
    <row r="52">
      <c r="A52" s="61">
        <v>46080.0</v>
      </c>
      <c r="B52" s="4" t="s">
        <v>631</v>
      </c>
      <c r="C52" s="12">
        <v>10.0</v>
      </c>
    </row>
    <row r="53">
      <c r="A53" s="61">
        <v>46080.0</v>
      </c>
      <c r="B53" s="4" t="s">
        <v>631</v>
      </c>
      <c r="C53" s="12">
        <v>10.0</v>
      </c>
    </row>
    <row r="54">
      <c r="A54" s="61">
        <v>46087.0</v>
      </c>
      <c r="B54" s="4" t="s">
        <v>631</v>
      </c>
      <c r="C54" s="12">
        <v>10.0</v>
      </c>
    </row>
    <row r="55">
      <c r="A55" s="61">
        <v>46091.0</v>
      </c>
      <c r="B55" s="4" t="s">
        <v>631</v>
      </c>
      <c r="C55" s="12">
        <v>20.0</v>
      </c>
    </row>
    <row r="56">
      <c r="A56" s="61">
        <v>46268.0</v>
      </c>
      <c r="B56" s="4" t="s">
        <v>631</v>
      </c>
      <c r="C56" s="12">
        <v>10.0</v>
      </c>
    </row>
    <row r="57">
      <c r="A57" s="70"/>
      <c r="C57" s="2"/>
    </row>
    <row r="58">
      <c r="A58" s="70"/>
      <c r="C58" s="2"/>
    </row>
    <row r="59">
      <c r="A59" s="70"/>
      <c r="C59" s="2"/>
    </row>
    <row r="60">
      <c r="A60" s="70"/>
      <c r="C60" s="2"/>
    </row>
    <row r="61">
      <c r="A61" s="70"/>
      <c r="C61" s="2"/>
    </row>
    <row r="62">
      <c r="A62" s="70"/>
      <c r="C62" s="2"/>
    </row>
    <row r="63">
      <c r="A63" s="70"/>
      <c r="C63" s="2"/>
    </row>
    <row r="64">
      <c r="A64" s="70"/>
      <c r="C64" s="2"/>
    </row>
    <row r="65">
      <c r="A65" s="70"/>
      <c r="C65" s="2"/>
    </row>
    <row r="66">
      <c r="A66" s="70"/>
      <c r="C66" s="2"/>
    </row>
    <row r="67">
      <c r="A67" s="70"/>
      <c r="C67" s="2"/>
    </row>
    <row r="68">
      <c r="A68" s="70"/>
      <c r="C68" s="2"/>
    </row>
    <row r="69">
      <c r="A69" s="70"/>
      <c r="C69" s="2"/>
    </row>
    <row r="70">
      <c r="A70" s="70"/>
      <c r="C70" s="2"/>
    </row>
    <row r="71">
      <c r="A71" s="70"/>
      <c r="C71" s="2"/>
    </row>
    <row r="72">
      <c r="A72" s="70"/>
      <c r="C72" s="2"/>
    </row>
    <row r="73">
      <c r="A73" s="70"/>
      <c r="C73" s="2"/>
    </row>
    <row r="74">
      <c r="A74" s="70"/>
      <c r="C74" s="2"/>
    </row>
    <row r="75">
      <c r="A75" s="70"/>
      <c r="C75" s="2"/>
    </row>
    <row r="76">
      <c r="A76" s="70"/>
      <c r="C76" s="2"/>
    </row>
    <row r="77">
      <c r="A77" s="70"/>
      <c r="C77" s="2"/>
    </row>
    <row r="78">
      <c r="A78" s="70"/>
      <c r="C78" s="2"/>
    </row>
    <row r="79">
      <c r="A79" s="70"/>
      <c r="C79" s="2"/>
    </row>
    <row r="80">
      <c r="A80" s="70"/>
      <c r="C80" s="2"/>
    </row>
    <row r="81">
      <c r="A81" s="70"/>
      <c r="C81" s="2"/>
    </row>
    <row r="82">
      <c r="A82" s="70"/>
      <c r="C82" s="2"/>
    </row>
    <row r="83">
      <c r="A83" s="70"/>
      <c r="C83" s="2"/>
    </row>
    <row r="84">
      <c r="A84" s="70"/>
      <c r="C84" s="2"/>
    </row>
    <row r="85">
      <c r="A85" s="70"/>
      <c r="C85" s="2"/>
    </row>
    <row r="86">
      <c r="A86" s="70"/>
      <c r="C86" s="2"/>
    </row>
    <row r="87">
      <c r="A87" s="70"/>
      <c r="C87" s="2"/>
    </row>
    <row r="88">
      <c r="A88" s="70"/>
      <c r="C88" s="2"/>
    </row>
    <row r="89">
      <c r="A89" s="70"/>
      <c r="C89" s="2"/>
    </row>
    <row r="90">
      <c r="A90" s="70"/>
      <c r="C90" s="2"/>
    </row>
    <row r="91">
      <c r="A91" s="70"/>
      <c r="C91" s="2"/>
    </row>
    <row r="92">
      <c r="A92" s="70"/>
      <c r="C92" s="2"/>
    </row>
    <row r="93">
      <c r="A93" s="70"/>
      <c r="C93" s="2"/>
    </row>
    <row r="94">
      <c r="A94" s="70"/>
      <c r="C94" s="2"/>
    </row>
    <row r="95">
      <c r="A95" s="70"/>
      <c r="C95" s="2"/>
    </row>
    <row r="96">
      <c r="A96" s="70"/>
      <c r="C96" s="2"/>
    </row>
    <row r="97">
      <c r="A97" s="70"/>
      <c r="C97" s="2"/>
    </row>
    <row r="98">
      <c r="A98" s="70"/>
      <c r="C98" s="2"/>
    </row>
    <row r="99">
      <c r="A99" s="70"/>
      <c r="C99" s="2"/>
    </row>
    <row r="100">
      <c r="A100" s="70"/>
      <c r="C100" s="2"/>
    </row>
    <row r="101">
      <c r="A101" s="70"/>
      <c r="C101" s="2"/>
    </row>
    <row r="102">
      <c r="A102" s="70"/>
      <c r="C102" s="2"/>
    </row>
    <row r="103">
      <c r="A103" s="70"/>
      <c r="C103" s="2"/>
    </row>
    <row r="104">
      <c r="A104" s="70"/>
      <c r="C104" s="2"/>
    </row>
    <row r="105">
      <c r="A105" s="70"/>
      <c r="C105" s="2"/>
    </row>
    <row r="106">
      <c r="A106" s="70"/>
      <c r="C106" s="2"/>
    </row>
    <row r="107">
      <c r="A107" s="70"/>
      <c r="C107" s="2"/>
    </row>
    <row r="108">
      <c r="A108" s="70"/>
      <c r="C108" s="2"/>
    </row>
    <row r="109">
      <c r="A109" s="70"/>
      <c r="C109" s="2"/>
    </row>
    <row r="110">
      <c r="A110" s="70"/>
      <c r="C110" s="2"/>
    </row>
    <row r="111">
      <c r="A111" s="70"/>
      <c r="C111" s="2"/>
    </row>
    <row r="112">
      <c r="A112" s="70"/>
      <c r="C112" s="2"/>
    </row>
    <row r="113">
      <c r="A113" s="70"/>
      <c r="C113" s="2"/>
    </row>
    <row r="114">
      <c r="A114" s="70"/>
      <c r="C114" s="2"/>
    </row>
    <row r="115">
      <c r="A115" s="70"/>
      <c r="C115" s="2"/>
    </row>
    <row r="116">
      <c r="A116" s="70"/>
      <c r="C116" s="2"/>
    </row>
    <row r="117">
      <c r="A117" s="70"/>
      <c r="C117" s="2"/>
    </row>
    <row r="118">
      <c r="A118" s="70"/>
      <c r="C118" s="2"/>
    </row>
    <row r="119">
      <c r="A119" s="70"/>
      <c r="C119" s="2"/>
    </row>
    <row r="120">
      <c r="A120" s="70"/>
      <c r="C120" s="2"/>
    </row>
    <row r="121">
      <c r="A121" s="70"/>
      <c r="C121" s="2"/>
    </row>
    <row r="122">
      <c r="A122" s="70"/>
      <c r="C122" s="2"/>
    </row>
    <row r="123">
      <c r="A123" s="70"/>
      <c r="C123" s="2"/>
    </row>
    <row r="124">
      <c r="A124" s="70"/>
      <c r="C124" s="2"/>
    </row>
    <row r="125">
      <c r="A125" s="70"/>
      <c r="C125" s="2"/>
    </row>
    <row r="126">
      <c r="A126" s="70"/>
      <c r="C126" s="2"/>
    </row>
    <row r="127">
      <c r="A127" s="70"/>
      <c r="C127" s="2"/>
    </row>
    <row r="128">
      <c r="A128" s="70"/>
      <c r="C128" s="2"/>
    </row>
    <row r="129">
      <c r="A129" s="70"/>
      <c r="C129" s="2"/>
    </row>
    <row r="130">
      <c r="A130" s="70"/>
      <c r="C130" s="2"/>
    </row>
    <row r="131">
      <c r="A131" s="70"/>
      <c r="C131" s="2"/>
    </row>
    <row r="132">
      <c r="A132" s="70"/>
      <c r="C132" s="2"/>
    </row>
    <row r="133">
      <c r="A133" s="70"/>
      <c r="C133" s="2"/>
    </row>
    <row r="134">
      <c r="A134" s="70"/>
      <c r="C134" s="2"/>
    </row>
    <row r="135">
      <c r="A135" s="70"/>
      <c r="C135" s="2"/>
    </row>
    <row r="136">
      <c r="A136" s="70"/>
      <c r="C136" s="2"/>
    </row>
    <row r="137">
      <c r="A137" s="70"/>
      <c r="C137" s="2"/>
    </row>
    <row r="138">
      <c r="A138" s="70"/>
      <c r="C138" s="2"/>
    </row>
    <row r="139">
      <c r="A139" s="70"/>
      <c r="C139" s="2"/>
    </row>
    <row r="140">
      <c r="A140" s="70"/>
      <c r="C140" s="2"/>
    </row>
    <row r="141">
      <c r="A141" s="70"/>
      <c r="C141" s="2"/>
    </row>
    <row r="142">
      <c r="A142" s="70"/>
      <c r="C142" s="2"/>
    </row>
    <row r="143">
      <c r="A143" s="70"/>
      <c r="C143" s="2"/>
    </row>
    <row r="144">
      <c r="A144" s="70"/>
      <c r="C144" s="2"/>
    </row>
    <row r="145">
      <c r="A145" s="70"/>
      <c r="C145" s="2"/>
    </row>
    <row r="146">
      <c r="A146" s="70"/>
      <c r="C146" s="2"/>
    </row>
    <row r="147">
      <c r="A147" s="70"/>
      <c r="C147" s="2"/>
    </row>
    <row r="148">
      <c r="A148" s="70"/>
      <c r="C148" s="2"/>
    </row>
    <row r="149">
      <c r="A149" s="70"/>
      <c r="C149" s="2"/>
    </row>
    <row r="150">
      <c r="A150" s="70"/>
      <c r="C150" s="2"/>
    </row>
    <row r="151">
      <c r="A151" s="70"/>
      <c r="C151" s="2"/>
    </row>
    <row r="152">
      <c r="A152" s="70"/>
      <c r="C152" s="2"/>
    </row>
    <row r="153">
      <c r="A153" s="70"/>
      <c r="C153" s="2"/>
    </row>
    <row r="154">
      <c r="A154" s="70"/>
      <c r="C154" s="2"/>
    </row>
    <row r="155">
      <c r="A155" s="70"/>
      <c r="C155" s="2"/>
    </row>
    <row r="156">
      <c r="A156" s="70"/>
      <c r="C156" s="2"/>
    </row>
    <row r="157">
      <c r="A157" s="70"/>
      <c r="C157" s="2"/>
    </row>
    <row r="158">
      <c r="A158" s="70"/>
      <c r="C158" s="2"/>
    </row>
    <row r="159">
      <c r="A159" s="70"/>
      <c r="C159" s="2"/>
    </row>
    <row r="160">
      <c r="A160" s="70"/>
      <c r="C160" s="2"/>
    </row>
    <row r="161">
      <c r="A161" s="70"/>
      <c r="C161" s="2"/>
    </row>
    <row r="162">
      <c r="A162" s="70"/>
      <c r="C162" s="2"/>
    </row>
    <row r="163">
      <c r="A163" s="70"/>
      <c r="C163" s="2"/>
    </row>
    <row r="164">
      <c r="A164" s="70"/>
      <c r="C164" s="2"/>
    </row>
    <row r="165">
      <c r="A165" s="70"/>
      <c r="C165" s="2"/>
    </row>
    <row r="166">
      <c r="A166" s="70"/>
      <c r="C166" s="2"/>
    </row>
    <row r="167">
      <c r="A167" s="70"/>
      <c r="C167" s="2"/>
    </row>
    <row r="168">
      <c r="A168" s="70"/>
      <c r="C168" s="2"/>
    </row>
    <row r="169">
      <c r="A169" s="70"/>
      <c r="C169" s="2"/>
    </row>
    <row r="170">
      <c r="A170" s="70"/>
      <c r="C170" s="2"/>
    </row>
    <row r="171">
      <c r="A171" s="70"/>
      <c r="C171" s="2"/>
    </row>
    <row r="172">
      <c r="A172" s="70"/>
      <c r="C172" s="2"/>
    </row>
    <row r="173">
      <c r="A173" s="70"/>
      <c r="C173" s="2"/>
    </row>
    <row r="174">
      <c r="A174" s="70"/>
      <c r="C174" s="2"/>
    </row>
    <row r="175">
      <c r="A175" s="70"/>
      <c r="C175" s="2"/>
    </row>
    <row r="176">
      <c r="A176" s="70"/>
      <c r="C176" s="2"/>
    </row>
    <row r="177">
      <c r="A177" s="70"/>
      <c r="C177" s="2"/>
    </row>
    <row r="178">
      <c r="A178" s="70"/>
      <c r="C178" s="2"/>
    </row>
    <row r="179">
      <c r="A179" s="70"/>
      <c r="C179" s="2"/>
    </row>
    <row r="180">
      <c r="A180" s="70"/>
      <c r="C180" s="2"/>
    </row>
    <row r="181">
      <c r="A181" s="70"/>
      <c r="C181" s="2"/>
    </row>
    <row r="182">
      <c r="A182" s="70"/>
      <c r="C182" s="2"/>
    </row>
    <row r="183">
      <c r="A183" s="70"/>
      <c r="C183" s="2"/>
    </row>
    <row r="184">
      <c r="A184" s="70"/>
      <c r="C184" s="2"/>
    </row>
    <row r="185">
      <c r="A185" s="70"/>
      <c r="C185" s="2"/>
    </row>
    <row r="186">
      <c r="A186" s="70"/>
      <c r="C186" s="2"/>
    </row>
    <row r="187">
      <c r="A187" s="70"/>
      <c r="C187" s="2"/>
    </row>
    <row r="188">
      <c r="A188" s="70"/>
      <c r="C188" s="2"/>
    </row>
    <row r="189">
      <c r="A189" s="70"/>
      <c r="C189" s="2"/>
    </row>
    <row r="190">
      <c r="A190" s="70"/>
      <c r="C190" s="2"/>
    </row>
    <row r="191">
      <c r="A191" s="70"/>
      <c r="C191" s="2"/>
    </row>
    <row r="192">
      <c r="A192" s="70"/>
      <c r="C192" s="2"/>
    </row>
    <row r="193">
      <c r="A193" s="70"/>
      <c r="C193" s="2"/>
    </row>
    <row r="194">
      <c r="A194" s="70"/>
      <c r="C194" s="2"/>
    </row>
    <row r="195">
      <c r="A195" s="70"/>
      <c r="C195" s="2"/>
    </row>
    <row r="196">
      <c r="A196" s="70"/>
      <c r="C196" s="2"/>
    </row>
    <row r="197">
      <c r="A197" s="70"/>
      <c r="C197" s="2"/>
    </row>
    <row r="198">
      <c r="A198" s="70"/>
      <c r="C198" s="2"/>
    </row>
    <row r="199">
      <c r="A199" s="70"/>
      <c r="C199" s="2"/>
    </row>
    <row r="200">
      <c r="A200" s="70"/>
      <c r="C200" s="2"/>
    </row>
    <row r="201">
      <c r="A201" s="70"/>
      <c r="C201" s="2"/>
    </row>
    <row r="202">
      <c r="A202" s="70"/>
      <c r="C202" s="2"/>
    </row>
    <row r="203">
      <c r="A203" s="70"/>
      <c r="C203" s="2"/>
    </row>
    <row r="204">
      <c r="A204" s="70"/>
      <c r="C204" s="2"/>
    </row>
    <row r="205">
      <c r="A205" s="70"/>
      <c r="C205" s="2"/>
    </row>
    <row r="206">
      <c r="A206" s="70"/>
      <c r="C206" s="2"/>
    </row>
    <row r="207">
      <c r="A207" s="70"/>
      <c r="C207" s="2"/>
    </row>
    <row r="208">
      <c r="A208" s="70"/>
      <c r="C208" s="2"/>
    </row>
    <row r="209">
      <c r="A209" s="70"/>
      <c r="C209" s="2"/>
    </row>
    <row r="210">
      <c r="A210" s="70"/>
      <c r="C210" s="2"/>
    </row>
    <row r="211">
      <c r="A211" s="70"/>
      <c r="C211" s="2"/>
    </row>
    <row r="212">
      <c r="A212" s="70"/>
      <c r="C212" s="2"/>
    </row>
    <row r="213">
      <c r="A213" s="70"/>
      <c r="C213" s="2"/>
    </row>
    <row r="214">
      <c r="A214" s="70"/>
      <c r="C214" s="2"/>
    </row>
    <row r="215">
      <c r="A215" s="70"/>
      <c r="C215" s="2"/>
    </row>
    <row r="216">
      <c r="A216" s="70"/>
      <c r="C216" s="2"/>
    </row>
    <row r="217">
      <c r="A217" s="70"/>
      <c r="C217" s="2"/>
    </row>
    <row r="218">
      <c r="A218" s="70"/>
      <c r="C218" s="2"/>
    </row>
    <row r="219">
      <c r="A219" s="70"/>
      <c r="C219" s="2"/>
    </row>
    <row r="220">
      <c r="A220" s="70"/>
      <c r="C220" s="2"/>
    </row>
    <row r="221">
      <c r="A221" s="70"/>
      <c r="C221" s="2"/>
    </row>
    <row r="222">
      <c r="A222" s="70"/>
      <c r="C222" s="2"/>
    </row>
    <row r="223">
      <c r="A223" s="70"/>
      <c r="C223" s="2"/>
    </row>
    <row r="224">
      <c r="A224" s="70"/>
      <c r="C224" s="2"/>
    </row>
    <row r="225">
      <c r="A225" s="70"/>
      <c r="C225" s="2"/>
    </row>
    <row r="226">
      <c r="A226" s="70"/>
      <c r="C226" s="2"/>
    </row>
    <row r="227">
      <c r="A227" s="70"/>
      <c r="C227" s="2"/>
    </row>
    <row r="228">
      <c r="A228" s="70"/>
      <c r="C228" s="2"/>
    </row>
    <row r="229">
      <c r="A229" s="70"/>
      <c r="C229" s="2"/>
    </row>
    <row r="230">
      <c r="A230" s="70"/>
      <c r="C230" s="2"/>
    </row>
    <row r="231">
      <c r="A231" s="70"/>
      <c r="C231" s="2"/>
    </row>
    <row r="232">
      <c r="A232" s="70"/>
      <c r="C232" s="2"/>
    </row>
    <row r="233">
      <c r="A233" s="70"/>
      <c r="C233" s="2"/>
    </row>
    <row r="234">
      <c r="A234" s="70"/>
      <c r="C234" s="2"/>
    </row>
    <row r="235">
      <c r="A235" s="70"/>
      <c r="C235" s="2"/>
    </row>
    <row r="236">
      <c r="A236" s="70"/>
      <c r="C236" s="2"/>
    </row>
    <row r="237">
      <c r="A237" s="70"/>
      <c r="C237" s="2"/>
    </row>
    <row r="238">
      <c r="A238" s="70"/>
      <c r="C238" s="2"/>
    </row>
    <row r="239">
      <c r="A239" s="70"/>
      <c r="C239" s="2"/>
    </row>
    <row r="240">
      <c r="A240" s="70"/>
      <c r="C240" s="2"/>
    </row>
    <row r="241">
      <c r="A241" s="70"/>
      <c r="C241" s="2"/>
    </row>
    <row r="242">
      <c r="A242" s="70"/>
      <c r="C242" s="2"/>
    </row>
    <row r="243">
      <c r="A243" s="70"/>
      <c r="C243" s="2"/>
    </row>
    <row r="244">
      <c r="A244" s="70"/>
      <c r="C244" s="2"/>
    </row>
    <row r="245">
      <c r="A245" s="70"/>
      <c r="C245" s="2"/>
    </row>
    <row r="246">
      <c r="A246" s="70"/>
      <c r="C246" s="2"/>
    </row>
    <row r="247">
      <c r="A247" s="70"/>
      <c r="C247" s="2"/>
    </row>
    <row r="248">
      <c r="A248" s="70"/>
      <c r="C248" s="2"/>
    </row>
    <row r="249">
      <c r="A249" s="70"/>
      <c r="C249" s="2"/>
    </row>
    <row r="250">
      <c r="A250" s="70"/>
      <c r="C250" s="2"/>
    </row>
    <row r="251">
      <c r="A251" s="70"/>
      <c r="C251" s="2"/>
    </row>
    <row r="252">
      <c r="A252" s="70"/>
      <c r="C252" s="2"/>
    </row>
    <row r="253">
      <c r="A253" s="70"/>
      <c r="C253" s="2"/>
    </row>
    <row r="254">
      <c r="A254" s="70"/>
      <c r="C254" s="2"/>
    </row>
    <row r="255">
      <c r="A255" s="70"/>
      <c r="C255" s="2"/>
    </row>
    <row r="256">
      <c r="A256" s="70"/>
      <c r="C256" s="2"/>
    </row>
    <row r="257">
      <c r="A257" s="70"/>
      <c r="C257" s="2"/>
    </row>
    <row r="258">
      <c r="A258" s="70"/>
      <c r="C258" s="2"/>
    </row>
    <row r="259">
      <c r="A259" s="70"/>
      <c r="C259" s="2"/>
    </row>
    <row r="260">
      <c r="A260" s="70"/>
      <c r="C260" s="2"/>
    </row>
    <row r="261">
      <c r="A261" s="70"/>
      <c r="C261" s="2"/>
    </row>
    <row r="262">
      <c r="A262" s="70"/>
      <c r="C262" s="2"/>
    </row>
    <row r="263">
      <c r="A263" s="70"/>
      <c r="C263" s="2"/>
    </row>
    <row r="264">
      <c r="A264" s="70"/>
      <c r="C264" s="2"/>
    </row>
    <row r="265">
      <c r="A265" s="70"/>
      <c r="C265" s="2"/>
    </row>
    <row r="266">
      <c r="A266" s="70"/>
      <c r="C266" s="2"/>
    </row>
    <row r="267">
      <c r="A267" s="70"/>
      <c r="C267" s="2"/>
    </row>
    <row r="268">
      <c r="A268" s="70"/>
      <c r="C268" s="2"/>
    </row>
    <row r="269">
      <c r="A269" s="70"/>
      <c r="C269" s="2"/>
    </row>
    <row r="270">
      <c r="A270" s="70"/>
      <c r="C270" s="2"/>
    </row>
    <row r="271">
      <c r="A271" s="70"/>
      <c r="C271" s="2"/>
    </row>
    <row r="272">
      <c r="A272" s="70"/>
      <c r="C272" s="2"/>
    </row>
    <row r="273">
      <c r="A273" s="70"/>
      <c r="C273" s="2"/>
    </row>
    <row r="274">
      <c r="A274" s="70"/>
      <c r="C274" s="2"/>
    </row>
    <row r="275">
      <c r="A275" s="70"/>
      <c r="C275" s="2"/>
    </row>
    <row r="276">
      <c r="A276" s="70"/>
      <c r="C276" s="2"/>
    </row>
    <row r="277">
      <c r="A277" s="70"/>
      <c r="C277" s="2"/>
    </row>
    <row r="278">
      <c r="A278" s="70"/>
      <c r="C278" s="2"/>
    </row>
    <row r="279">
      <c r="A279" s="70"/>
      <c r="C279" s="2"/>
    </row>
    <row r="280">
      <c r="A280" s="70"/>
      <c r="C280" s="2"/>
    </row>
    <row r="281">
      <c r="A281" s="70"/>
      <c r="C281" s="2"/>
    </row>
    <row r="282">
      <c r="A282" s="70"/>
      <c r="C282" s="2"/>
    </row>
    <row r="283">
      <c r="A283" s="70"/>
      <c r="C283" s="2"/>
    </row>
    <row r="284">
      <c r="A284" s="70"/>
      <c r="C284" s="2"/>
    </row>
    <row r="285">
      <c r="A285" s="70"/>
      <c r="C285" s="2"/>
    </row>
    <row r="286">
      <c r="A286" s="70"/>
      <c r="C286" s="2"/>
    </row>
    <row r="287">
      <c r="A287" s="70"/>
      <c r="C287" s="2"/>
    </row>
    <row r="288">
      <c r="A288" s="70"/>
      <c r="C288" s="2"/>
    </row>
    <row r="289">
      <c r="A289" s="70"/>
      <c r="C289" s="2"/>
    </row>
    <row r="290">
      <c r="A290" s="70"/>
      <c r="C290" s="2"/>
    </row>
    <row r="291">
      <c r="A291" s="70"/>
      <c r="C291" s="2"/>
    </row>
    <row r="292">
      <c r="A292" s="70"/>
      <c r="C292" s="2"/>
    </row>
    <row r="293">
      <c r="A293" s="70"/>
      <c r="C293" s="2"/>
    </row>
    <row r="294">
      <c r="A294" s="70"/>
      <c r="C294" s="2"/>
    </row>
    <row r="295">
      <c r="A295" s="70"/>
      <c r="C295" s="2"/>
    </row>
    <row r="296">
      <c r="A296" s="70"/>
      <c r="C296" s="2"/>
    </row>
    <row r="297">
      <c r="A297" s="70"/>
      <c r="C297" s="2"/>
    </row>
    <row r="298">
      <c r="A298" s="70"/>
      <c r="C298" s="2"/>
    </row>
    <row r="299">
      <c r="A299" s="70"/>
      <c r="C299" s="2"/>
    </row>
    <row r="300">
      <c r="A300" s="70"/>
      <c r="C300" s="2"/>
    </row>
    <row r="301">
      <c r="A301" s="70"/>
      <c r="C301" s="2"/>
    </row>
    <row r="302">
      <c r="A302" s="70"/>
      <c r="C302" s="2"/>
    </row>
    <row r="303">
      <c r="A303" s="70"/>
      <c r="C303" s="2"/>
    </row>
    <row r="304">
      <c r="A304" s="70"/>
      <c r="C304" s="2"/>
    </row>
    <row r="305">
      <c r="A305" s="70"/>
      <c r="C305" s="2"/>
    </row>
    <row r="306">
      <c r="A306" s="70"/>
      <c r="C306" s="2"/>
    </row>
    <row r="307">
      <c r="A307" s="70"/>
      <c r="C307" s="2"/>
    </row>
    <row r="308">
      <c r="A308" s="70"/>
      <c r="C308" s="2"/>
    </row>
    <row r="309">
      <c r="A309" s="70"/>
      <c r="C309" s="2"/>
    </row>
    <row r="310">
      <c r="A310" s="70"/>
      <c r="C310" s="2"/>
    </row>
    <row r="311">
      <c r="A311" s="70"/>
      <c r="C311" s="2"/>
    </row>
    <row r="312">
      <c r="A312" s="70"/>
      <c r="C312" s="2"/>
    </row>
    <row r="313">
      <c r="A313" s="70"/>
      <c r="C313" s="2"/>
    </row>
    <row r="314">
      <c r="A314" s="70"/>
      <c r="C314" s="2"/>
    </row>
    <row r="315">
      <c r="A315" s="70"/>
      <c r="C315" s="2"/>
    </row>
    <row r="316">
      <c r="A316" s="70"/>
      <c r="C316" s="2"/>
    </row>
    <row r="317">
      <c r="A317" s="70"/>
      <c r="C317" s="2"/>
    </row>
    <row r="318">
      <c r="A318" s="70"/>
      <c r="C318" s="2"/>
    </row>
    <row r="319">
      <c r="A319" s="70"/>
      <c r="C319" s="2"/>
    </row>
    <row r="320">
      <c r="A320" s="70"/>
      <c r="C320" s="2"/>
    </row>
    <row r="321">
      <c r="A321" s="70"/>
      <c r="C321" s="2"/>
    </row>
    <row r="322">
      <c r="A322" s="70"/>
      <c r="C322" s="2"/>
    </row>
    <row r="323">
      <c r="A323" s="70"/>
      <c r="C323" s="2"/>
    </row>
    <row r="324">
      <c r="A324" s="70"/>
      <c r="C324" s="2"/>
    </row>
    <row r="325">
      <c r="A325" s="70"/>
      <c r="C325" s="2"/>
    </row>
    <row r="326">
      <c r="A326" s="70"/>
      <c r="C326" s="2"/>
    </row>
    <row r="327">
      <c r="A327" s="70"/>
      <c r="C327" s="2"/>
    </row>
    <row r="328">
      <c r="A328" s="70"/>
      <c r="C328" s="2"/>
    </row>
    <row r="329">
      <c r="A329" s="70"/>
      <c r="C329" s="2"/>
    </row>
    <row r="330">
      <c r="A330" s="70"/>
      <c r="C330" s="2"/>
    </row>
    <row r="331">
      <c r="A331" s="70"/>
      <c r="C331" s="2"/>
    </row>
    <row r="332">
      <c r="A332" s="70"/>
      <c r="C332" s="2"/>
    </row>
    <row r="333">
      <c r="A333" s="70"/>
      <c r="C333" s="2"/>
    </row>
    <row r="334">
      <c r="A334" s="70"/>
      <c r="C334" s="2"/>
    </row>
    <row r="335">
      <c r="A335" s="70"/>
      <c r="C335" s="2"/>
    </row>
    <row r="336">
      <c r="A336" s="70"/>
      <c r="C336" s="2"/>
    </row>
    <row r="337">
      <c r="A337" s="70"/>
      <c r="C337" s="2"/>
    </row>
    <row r="338">
      <c r="A338" s="70"/>
      <c r="C338" s="2"/>
    </row>
    <row r="339">
      <c r="A339" s="70"/>
      <c r="C339" s="2"/>
    </row>
    <row r="340">
      <c r="A340" s="70"/>
      <c r="C340" s="2"/>
    </row>
    <row r="341">
      <c r="A341" s="70"/>
      <c r="C341" s="2"/>
    </row>
    <row r="342">
      <c r="A342" s="70"/>
      <c r="C342" s="2"/>
    </row>
    <row r="343">
      <c r="A343" s="70"/>
      <c r="C343" s="2"/>
    </row>
    <row r="344">
      <c r="A344" s="70"/>
      <c r="C344" s="2"/>
    </row>
    <row r="345">
      <c r="A345" s="70"/>
      <c r="C345" s="2"/>
    </row>
    <row r="346">
      <c r="A346" s="70"/>
      <c r="C346" s="2"/>
    </row>
    <row r="347">
      <c r="A347" s="70"/>
      <c r="C347" s="2"/>
    </row>
    <row r="348">
      <c r="A348" s="70"/>
      <c r="C348" s="2"/>
    </row>
    <row r="349">
      <c r="A349" s="70"/>
      <c r="C349" s="2"/>
    </row>
    <row r="350">
      <c r="A350" s="70"/>
      <c r="C350" s="2"/>
    </row>
    <row r="351">
      <c r="A351" s="70"/>
      <c r="C351" s="2"/>
    </row>
    <row r="352">
      <c r="A352" s="70"/>
      <c r="C352" s="2"/>
    </row>
    <row r="353">
      <c r="A353" s="70"/>
      <c r="C353" s="2"/>
    </row>
    <row r="354">
      <c r="A354" s="70"/>
      <c r="C354" s="2"/>
    </row>
    <row r="355">
      <c r="A355" s="70"/>
      <c r="C355" s="2"/>
    </row>
    <row r="356">
      <c r="A356" s="70"/>
      <c r="C356" s="2"/>
    </row>
    <row r="357">
      <c r="A357" s="70"/>
      <c r="C357" s="2"/>
    </row>
    <row r="358">
      <c r="A358" s="70"/>
      <c r="C358" s="2"/>
    </row>
    <row r="359">
      <c r="A359" s="70"/>
      <c r="C359" s="2"/>
    </row>
    <row r="360">
      <c r="A360" s="70"/>
      <c r="C360" s="2"/>
    </row>
    <row r="361">
      <c r="A361" s="70"/>
      <c r="C361" s="2"/>
    </row>
    <row r="362">
      <c r="A362" s="70"/>
      <c r="C362" s="2"/>
    </row>
    <row r="363">
      <c r="A363" s="70"/>
      <c r="C363" s="2"/>
    </row>
    <row r="364">
      <c r="A364" s="70"/>
      <c r="C364" s="2"/>
    </row>
    <row r="365">
      <c r="A365" s="70"/>
      <c r="C365" s="2"/>
    </row>
    <row r="366">
      <c r="A366" s="70"/>
      <c r="C366" s="2"/>
    </row>
    <row r="367">
      <c r="A367" s="70"/>
      <c r="C367" s="2"/>
    </row>
    <row r="368">
      <c r="A368" s="70"/>
      <c r="C368" s="2"/>
    </row>
    <row r="369">
      <c r="A369" s="70"/>
      <c r="C369" s="2"/>
    </row>
    <row r="370">
      <c r="A370" s="70"/>
      <c r="C370" s="2"/>
    </row>
    <row r="371">
      <c r="A371" s="70"/>
      <c r="C371" s="2"/>
    </row>
    <row r="372">
      <c r="A372" s="70"/>
      <c r="C372" s="2"/>
    </row>
    <row r="373">
      <c r="A373" s="70"/>
      <c r="C373" s="2"/>
    </row>
    <row r="374">
      <c r="A374" s="70"/>
      <c r="C374" s="2"/>
    </row>
    <row r="375">
      <c r="A375" s="70"/>
      <c r="C375" s="2"/>
    </row>
    <row r="376">
      <c r="A376" s="70"/>
      <c r="C376" s="2"/>
    </row>
    <row r="377">
      <c r="A377" s="70"/>
      <c r="C377" s="2"/>
    </row>
    <row r="378">
      <c r="A378" s="70"/>
      <c r="C378" s="2"/>
    </row>
    <row r="379">
      <c r="A379" s="70"/>
      <c r="C379" s="2"/>
    </row>
    <row r="380">
      <c r="A380" s="70"/>
      <c r="C380" s="2"/>
    </row>
    <row r="381">
      <c r="A381" s="70"/>
      <c r="C381" s="2"/>
    </row>
    <row r="382">
      <c r="A382" s="70"/>
      <c r="C382" s="2"/>
    </row>
    <row r="383">
      <c r="A383" s="70"/>
      <c r="C383" s="2"/>
    </row>
    <row r="384">
      <c r="A384" s="70"/>
      <c r="C384" s="2"/>
    </row>
    <row r="385">
      <c r="A385" s="70"/>
      <c r="C385" s="2"/>
    </row>
    <row r="386">
      <c r="A386" s="70"/>
      <c r="C386" s="2"/>
    </row>
    <row r="387">
      <c r="A387" s="70"/>
      <c r="C387" s="2"/>
    </row>
    <row r="388">
      <c r="A388" s="70"/>
      <c r="C388" s="2"/>
    </row>
    <row r="389">
      <c r="A389" s="70"/>
      <c r="C389" s="2"/>
    </row>
    <row r="390">
      <c r="A390" s="70"/>
      <c r="C390" s="2"/>
    </row>
    <row r="391">
      <c r="A391" s="70"/>
      <c r="C391" s="2"/>
    </row>
    <row r="392">
      <c r="A392" s="70"/>
      <c r="C392" s="2"/>
    </row>
    <row r="393">
      <c r="A393" s="70"/>
      <c r="C393" s="2"/>
    </row>
    <row r="394">
      <c r="A394" s="70"/>
      <c r="C394" s="2"/>
    </row>
    <row r="395">
      <c r="A395" s="70"/>
      <c r="C395" s="2"/>
    </row>
    <row r="396">
      <c r="A396" s="70"/>
      <c r="C396" s="2"/>
    </row>
    <row r="397">
      <c r="A397" s="70"/>
      <c r="C397" s="2"/>
    </row>
    <row r="398">
      <c r="A398" s="70"/>
      <c r="C398" s="2"/>
    </row>
    <row r="399">
      <c r="A399" s="70"/>
      <c r="C399" s="2"/>
    </row>
    <row r="400">
      <c r="A400" s="70"/>
      <c r="C400" s="2"/>
    </row>
    <row r="401">
      <c r="A401" s="70"/>
      <c r="C401" s="2"/>
    </row>
    <row r="402">
      <c r="A402" s="70"/>
      <c r="C402" s="2"/>
    </row>
    <row r="403">
      <c r="A403" s="70"/>
      <c r="C403" s="2"/>
    </row>
    <row r="404">
      <c r="A404" s="70"/>
      <c r="C404" s="2"/>
    </row>
    <row r="405">
      <c r="A405" s="70"/>
      <c r="C405" s="2"/>
    </row>
    <row r="406">
      <c r="A406" s="70"/>
      <c r="C406" s="2"/>
    </row>
    <row r="407">
      <c r="A407" s="70"/>
      <c r="C407" s="2"/>
    </row>
    <row r="408">
      <c r="A408" s="70"/>
      <c r="C408" s="2"/>
    </row>
    <row r="409">
      <c r="A409" s="70"/>
      <c r="C409" s="2"/>
    </row>
    <row r="410">
      <c r="A410" s="70"/>
      <c r="C410" s="2"/>
    </row>
    <row r="411">
      <c r="A411" s="70"/>
      <c r="C411" s="2"/>
    </row>
    <row r="412">
      <c r="A412" s="70"/>
      <c r="C412" s="2"/>
    </row>
    <row r="413">
      <c r="A413" s="70"/>
      <c r="C413" s="2"/>
    </row>
    <row r="414">
      <c r="A414" s="70"/>
      <c r="C414" s="2"/>
    </row>
    <row r="415">
      <c r="A415" s="70"/>
      <c r="C415" s="2"/>
    </row>
    <row r="416">
      <c r="A416" s="70"/>
      <c r="C416" s="2"/>
    </row>
    <row r="417">
      <c r="A417" s="70"/>
      <c r="C417" s="2"/>
    </row>
    <row r="418">
      <c r="A418" s="70"/>
      <c r="C418" s="2"/>
    </row>
    <row r="419">
      <c r="A419" s="70"/>
      <c r="C419" s="2"/>
    </row>
    <row r="420">
      <c r="A420" s="70"/>
      <c r="C420" s="2"/>
    </row>
    <row r="421">
      <c r="A421" s="70"/>
      <c r="C421" s="2"/>
    </row>
    <row r="422">
      <c r="A422" s="70"/>
      <c r="C422" s="2"/>
    </row>
    <row r="423">
      <c r="A423" s="70"/>
      <c r="C423" s="2"/>
    </row>
    <row r="424">
      <c r="A424" s="70"/>
      <c r="C424" s="2"/>
    </row>
    <row r="425">
      <c r="A425" s="70"/>
      <c r="C425" s="2"/>
    </row>
    <row r="426">
      <c r="A426" s="70"/>
      <c r="C426" s="2"/>
    </row>
    <row r="427">
      <c r="A427" s="70"/>
      <c r="C427" s="2"/>
    </row>
    <row r="428">
      <c r="A428" s="70"/>
      <c r="C428" s="2"/>
    </row>
    <row r="429">
      <c r="A429" s="70"/>
      <c r="C429" s="2"/>
    </row>
    <row r="430">
      <c r="A430" s="70"/>
      <c r="C430" s="2"/>
    </row>
    <row r="431">
      <c r="A431" s="70"/>
      <c r="C431" s="2"/>
    </row>
    <row r="432">
      <c r="A432" s="70"/>
      <c r="C432" s="2"/>
    </row>
    <row r="433">
      <c r="A433" s="70"/>
      <c r="C433" s="2"/>
    </row>
    <row r="434">
      <c r="A434" s="70"/>
      <c r="C434" s="2"/>
    </row>
    <row r="435">
      <c r="A435" s="70"/>
      <c r="C435" s="2"/>
    </row>
    <row r="436">
      <c r="A436" s="70"/>
      <c r="C436" s="2"/>
    </row>
    <row r="437">
      <c r="A437" s="70"/>
      <c r="C437" s="2"/>
    </row>
    <row r="438">
      <c r="A438" s="70"/>
      <c r="C438" s="2"/>
    </row>
    <row r="439">
      <c r="A439" s="70"/>
      <c r="C439" s="2"/>
    </row>
    <row r="440">
      <c r="A440" s="70"/>
      <c r="C440" s="2"/>
    </row>
    <row r="441">
      <c r="A441" s="70"/>
      <c r="C441" s="2"/>
    </row>
    <row r="442">
      <c r="A442" s="70"/>
      <c r="C442" s="2"/>
    </row>
    <row r="443">
      <c r="A443" s="70"/>
      <c r="C443" s="2"/>
    </row>
    <row r="444">
      <c r="A444" s="70"/>
      <c r="C444" s="2"/>
    </row>
    <row r="445">
      <c r="A445" s="70"/>
      <c r="C445" s="2"/>
    </row>
    <row r="446">
      <c r="A446" s="70"/>
      <c r="C446" s="2"/>
    </row>
    <row r="447">
      <c r="A447" s="70"/>
      <c r="C447" s="2"/>
    </row>
    <row r="448">
      <c r="A448" s="70"/>
      <c r="C448" s="2"/>
    </row>
    <row r="449">
      <c r="A449" s="70"/>
      <c r="C449" s="2"/>
    </row>
    <row r="450">
      <c r="A450" s="70"/>
      <c r="C450" s="2"/>
    </row>
    <row r="451">
      <c r="A451" s="70"/>
      <c r="C451" s="2"/>
    </row>
    <row r="452">
      <c r="A452" s="70"/>
      <c r="C452" s="2"/>
    </row>
    <row r="453">
      <c r="A453" s="70"/>
      <c r="C453" s="2"/>
    </row>
    <row r="454">
      <c r="A454" s="70"/>
      <c r="C454" s="2"/>
    </row>
    <row r="455">
      <c r="A455" s="70"/>
      <c r="C455" s="2"/>
    </row>
    <row r="456">
      <c r="A456" s="70"/>
      <c r="C456" s="2"/>
    </row>
    <row r="457">
      <c r="A457" s="70"/>
      <c r="C457" s="2"/>
    </row>
    <row r="458">
      <c r="A458" s="70"/>
      <c r="C458" s="2"/>
    </row>
    <row r="459">
      <c r="A459" s="70"/>
      <c r="C459" s="2"/>
    </row>
    <row r="460">
      <c r="A460" s="70"/>
      <c r="C460" s="2"/>
    </row>
    <row r="461">
      <c r="A461" s="70"/>
      <c r="C461" s="2"/>
    </row>
    <row r="462">
      <c r="A462" s="70"/>
      <c r="C462" s="2"/>
    </row>
    <row r="463">
      <c r="A463" s="70"/>
      <c r="C463" s="2"/>
    </row>
    <row r="464">
      <c r="A464" s="70"/>
      <c r="C464" s="2"/>
    </row>
    <row r="465">
      <c r="A465" s="70"/>
      <c r="C465" s="2"/>
    </row>
    <row r="466">
      <c r="A466" s="70"/>
      <c r="C466" s="2"/>
    </row>
    <row r="467">
      <c r="A467" s="70"/>
      <c r="C467" s="2"/>
    </row>
    <row r="468">
      <c r="A468" s="70"/>
      <c r="C468" s="2"/>
    </row>
    <row r="469">
      <c r="A469" s="70"/>
      <c r="C469" s="2"/>
    </row>
    <row r="470">
      <c r="A470" s="70"/>
      <c r="C470" s="2"/>
    </row>
    <row r="471">
      <c r="A471" s="70"/>
      <c r="C471" s="2"/>
    </row>
    <row r="472">
      <c r="A472" s="70"/>
      <c r="C472" s="2"/>
    </row>
    <row r="473">
      <c r="A473" s="70"/>
      <c r="C473" s="2"/>
    </row>
    <row r="474">
      <c r="A474" s="70"/>
      <c r="C474" s="2"/>
    </row>
    <row r="475">
      <c r="A475" s="70"/>
      <c r="C475" s="2"/>
    </row>
    <row r="476">
      <c r="A476" s="70"/>
      <c r="C476" s="2"/>
    </row>
    <row r="477">
      <c r="A477" s="70"/>
      <c r="C477" s="2"/>
    </row>
    <row r="478">
      <c r="A478" s="70"/>
      <c r="C478" s="2"/>
    </row>
    <row r="479">
      <c r="A479" s="70"/>
      <c r="C479" s="2"/>
    </row>
    <row r="480">
      <c r="A480" s="70"/>
      <c r="C480" s="2"/>
    </row>
    <row r="481">
      <c r="A481" s="70"/>
      <c r="C481" s="2"/>
    </row>
    <row r="482">
      <c r="A482" s="70"/>
      <c r="C482" s="2"/>
    </row>
    <row r="483">
      <c r="A483" s="70"/>
      <c r="C483" s="2"/>
    </row>
    <row r="484">
      <c r="A484" s="70"/>
      <c r="C484" s="2"/>
    </row>
    <row r="485">
      <c r="A485" s="70"/>
      <c r="C485" s="2"/>
    </row>
    <row r="486">
      <c r="A486" s="70"/>
      <c r="C486" s="2"/>
    </row>
    <row r="487">
      <c r="A487" s="70"/>
      <c r="C487" s="2"/>
    </row>
    <row r="488">
      <c r="A488" s="70"/>
      <c r="C488" s="2"/>
    </row>
    <row r="489">
      <c r="A489" s="70"/>
      <c r="C489" s="2"/>
    </row>
    <row r="490">
      <c r="A490" s="70"/>
      <c r="C490" s="2"/>
    </row>
    <row r="491">
      <c r="A491" s="70"/>
      <c r="C491" s="2"/>
    </row>
    <row r="492">
      <c r="A492" s="70"/>
      <c r="C492" s="2"/>
    </row>
    <row r="493">
      <c r="A493" s="70"/>
      <c r="C493" s="2"/>
    </row>
    <row r="494">
      <c r="A494" s="70"/>
      <c r="C494" s="2"/>
    </row>
    <row r="495">
      <c r="A495" s="70"/>
      <c r="C495" s="2"/>
    </row>
    <row r="496">
      <c r="A496" s="70"/>
      <c r="C496" s="2"/>
    </row>
    <row r="497">
      <c r="A497" s="70"/>
      <c r="C497" s="2"/>
    </row>
    <row r="498">
      <c r="A498" s="70"/>
      <c r="C498" s="2"/>
    </row>
    <row r="499">
      <c r="A499" s="70"/>
      <c r="C499" s="2"/>
    </row>
    <row r="500">
      <c r="A500" s="70"/>
      <c r="C500" s="2"/>
    </row>
    <row r="501">
      <c r="A501" s="70"/>
      <c r="C501" s="2"/>
    </row>
    <row r="502">
      <c r="A502" s="70"/>
      <c r="C502" s="2"/>
    </row>
    <row r="503">
      <c r="A503" s="70"/>
      <c r="C503" s="2"/>
    </row>
    <row r="504">
      <c r="A504" s="70"/>
      <c r="C504" s="2"/>
    </row>
    <row r="505">
      <c r="A505" s="70"/>
      <c r="C505" s="2"/>
    </row>
    <row r="506">
      <c r="A506" s="70"/>
      <c r="C506" s="2"/>
    </row>
    <row r="507">
      <c r="A507" s="70"/>
      <c r="C507" s="2"/>
    </row>
    <row r="508">
      <c r="A508" s="70"/>
      <c r="C508" s="2"/>
    </row>
    <row r="509">
      <c r="A509" s="70"/>
      <c r="C509" s="2"/>
    </row>
    <row r="510">
      <c r="A510" s="70"/>
      <c r="C510" s="2"/>
    </row>
    <row r="511">
      <c r="A511" s="70"/>
      <c r="C511" s="2"/>
    </row>
    <row r="512">
      <c r="A512" s="70"/>
      <c r="C512" s="2"/>
    </row>
    <row r="513">
      <c r="A513" s="70"/>
      <c r="C513" s="2"/>
    </row>
    <row r="514">
      <c r="A514" s="70"/>
      <c r="C514" s="2"/>
    </row>
    <row r="515">
      <c r="A515" s="70"/>
      <c r="C515" s="2"/>
    </row>
    <row r="516">
      <c r="A516" s="70"/>
      <c r="C516" s="2"/>
    </row>
    <row r="517">
      <c r="A517" s="70"/>
      <c r="C517" s="2"/>
    </row>
    <row r="518">
      <c r="A518" s="70"/>
      <c r="C518" s="2"/>
    </row>
    <row r="519">
      <c r="A519" s="70"/>
      <c r="C519" s="2"/>
    </row>
    <row r="520">
      <c r="A520" s="70"/>
      <c r="C520" s="2"/>
    </row>
    <row r="521">
      <c r="A521" s="70"/>
      <c r="C521" s="2"/>
    </row>
    <row r="522">
      <c r="A522" s="70"/>
      <c r="C522" s="2"/>
    </row>
    <row r="523">
      <c r="A523" s="70"/>
      <c r="C523" s="2"/>
    </row>
    <row r="524">
      <c r="A524" s="70"/>
      <c r="C524" s="2"/>
    </row>
    <row r="525">
      <c r="A525" s="70"/>
      <c r="C525" s="2"/>
    </row>
    <row r="526">
      <c r="A526" s="70"/>
      <c r="C526" s="2"/>
    </row>
    <row r="527">
      <c r="A527" s="70"/>
      <c r="C527" s="2"/>
    </row>
    <row r="528">
      <c r="A528" s="70"/>
      <c r="C528" s="2"/>
    </row>
    <row r="529">
      <c r="A529" s="70"/>
      <c r="C529" s="2"/>
    </row>
    <row r="530">
      <c r="A530" s="70"/>
      <c r="C530" s="2"/>
    </row>
    <row r="531">
      <c r="A531" s="70"/>
      <c r="C531" s="2"/>
    </row>
    <row r="532">
      <c r="A532" s="70"/>
      <c r="C532" s="2"/>
    </row>
    <row r="533">
      <c r="A533" s="70"/>
      <c r="C533" s="2"/>
    </row>
    <row r="534">
      <c r="A534" s="70"/>
      <c r="C534" s="2"/>
    </row>
    <row r="535">
      <c r="A535" s="70"/>
      <c r="C535" s="2"/>
    </row>
    <row r="536">
      <c r="A536" s="70"/>
      <c r="C536" s="2"/>
    </row>
    <row r="537">
      <c r="A537" s="70"/>
      <c r="C537" s="2"/>
    </row>
    <row r="538">
      <c r="A538" s="70"/>
      <c r="C538" s="2"/>
    </row>
    <row r="539">
      <c r="A539" s="70"/>
      <c r="C539" s="2"/>
    </row>
    <row r="540">
      <c r="A540" s="70"/>
      <c r="C540" s="2"/>
    </row>
    <row r="541">
      <c r="A541" s="70"/>
      <c r="C541" s="2"/>
    </row>
    <row r="542">
      <c r="A542" s="70"/>
      <c r="C542" s="2"/>
    </row>
    <row r="543">
      <c r="A543" s="70"/>
      <c r="C543" s="2"/>
    </row>
    <row r="544">
      <c r="A544" s="70"/>
      <c r="C544" s="2"/>
    </row>
    <row r="545">
      <c r="A545" s="70"/>
      <c r="C545" s="2"/>
    </row>
    <row r="546">
      <c r="A546" s="70"/>
      <c r="C546" s="2"/>
    </row>
    <row r="547">
      <c r="A547" s="70"/>
      <c r="C547" s="2"/>
    </row>
    <row r="548">
      <c r="A548" s="70"/>
      <c r="C548" s="2"/>
    </row>
    <row r="549">
      <c r="A549" s="70"/>
      <c r="C549" s="2"/>
    </row>
    <row r="550">
      <c r="A550" s="70"/>
      <c r="C550" s="2"/>
    </row>
    <row r="551">
      <c r="A551" s="70"/>
      <c r="C551" s="2"/>
    </row>
    <row r="552">
      <c r="A552" s="70"/>
      <c r="C552" s="2"/>
    </row>
    <row r="553">
      <c r="A553" s="70"/>
      <c r="C553" s="2"/>
    </row>
    <row r="554">
      <c r="A554" s="70"/>
      <c r="C554" s="2"/>
    </row>
    <row r="555">
      <c r="A555" s="70"/>
      <c r="C555" s="2"/>
    </row>
    <row r="556">
      <c r="A556" s="70"/>
      <c r="C556" s="2"/>
    </row>
    <row r="557">
      <c r="A557" s="70"/>
      <c r="C557" s="2"/>
    </row>
    <row r="558">
      <c r="A558" s="70"/>
      <c r="C558" s="2"/>
    </row>
    <row r="559">
      <c r="A559" s="70"/>
      <c r="C559" s="2"/>
    </row>
    <row r="560">
      <c r="A560" s="70"/>
      <c r="C560" s="2"/>
    </row>
    <row r="561">
      <c r="A561" s="70"/>
      <c r="C561" s="2"/>
    </row>
    <row r="562">
      <c r="A562" s="70"/>
      <c r="C562" s="2"/>
    </row>
    <row r="563">
      <c r="A563" s="70"/>
      <c r="C563" s="2"/>
    </row>
    <row r="564">
      <c r="A564" s="70"/>
      <c r="C564" s="2"/>
    </row>
    <row r="565">
      <c r="A565" s="70"/>
      <c r="C565" s="2"/>
    </row>
    <row r="566">
      <c r="A566" s="70"/>
      <c r="C566" s="2"/>
    </row>
    <row r="567">
      <c r="A567" s="70"/>
      <c r="C567" s="2"/>
    </row>
    <row r="568">
      <c r="A568" s="70"/>
      <c r="C568" s="2"/>
    </row>
    <row r="569">
      <c r="A569" s="70"/>
      <c r="C569" s="2"/>
    </row>
    <row r="570">
      <c r="A570" s="70"/>
      <c r="C570" s="2"/>
    </row>
    <row r="571">
      <c r="A571" s="70"/>
      <c r="C571" s="2"/>
    </row>
    <row r="572">
      <c r="A572" s="70"/>
      <c r="C572" s="2"/>
    </row>
    <row r="573">
      <c r="A573" s="70"/>
      <c r="C573" s="2"/>
    </row>
    <row r="574">
      <c r="A574" s="70"/>
      <c r="C574" s="2"/>
    </row>
    <row r="575">
      <c r="A575" s="70"/>
      <c r="C575" s="2"/>
    </row>
    <row r="576">
      <c r="A576" s="70"/>
      <c r="C576" s="2"/>
    </row>
    <row r="577">
      <c r="A577" s="70"/>
      <c r="C577" s="2"/>
    </row>
    <row r="578">
      <c r="A578" s="70"/>
      <c r="C578" s="2"/>
    </row>
    <row r="579">
      <c r="A579" s="70"/>
      <c r="C579" s="2"/>
    </row>
    <row r="580">
      <c r="A580" s="70"/>
      <c r="C580" s="2"/>
    </row>
    <row r="581">
      <c r="A581" s="70"/>
      <c r="C581" s="2"/>
    </row>
    <row r="582">
      <c r="A582" s="70"/>
      <c r="C582" s="2"/>
    </row>
    <row r="583">
      <c r="A583" s="70"/>
      <c r="C583" s="2"/>
    </row>
    <row r="584">
      <c r="A584" s="70"/>
      <c r="C584" s="2"/>
    </row>
    <row r="585">
      <c r="A585" s="70"/>
      <c r="C585" s="2"/>
    </row>
    <row r="586">
      <c r="A586" s="70"/>
      <c r="C586" s="2"/>
    </row>
    <row r="587">
      <c r="A587" s="70"/>
      <c r="C587" s="2"/>
    </row>
    <row r="588">
      <c r="A588" s="70"/>
      <c r="C588" s="2"/>
    </row>
    <row r="589">
      <c r="A589" s="70"/>
      <c r="C589" s="2"/>
    </row>
    <row r="590">
      <c r="A590" s="70"/>
      <c r="C590" s="2"/>
    </row>
    <row r="591">
      <c r="A591" s="70"/>
      <c r="C591" s="2"/>
    </row>
    <row r="592">
      <c r="A592" s="70"/>
      <c r="C592" s="2"/>
    </row>
    <row r="593">
      <c r="A593" s="70"/>
      <c r="C593" s="2"/>
    </row>
    <row r="594">
      <c r="A594" s="70"/>
      <c r="C594" s="2"/>
    </row>
    <row r="595">
      <c r="A595" s="70"/>
      <c r="C595" s="2"/>
    </row>
    <row r="596">
      <c r="A596" s="70"/>
      <c r="C596" s="2"/>
    </row>
    <row r="597">
      <c r="A597" s="70"/>
      <c r="C597" s="2"/>
    </row>
    <row r="598">
      <c r="A598" s="70"/>
      <c r="C598" s="2"/>
    </row>
    <row r="599">
      <c r="A599" s="70"/>
      <c r="C599" s="2"/>
    </row>
    <row r="600">
      <c r="A600" s="70"/>
      <c r="C600" s="2"/>
    </row>
    <row r="601">
      <c r="A601" s="70"/>
      <c r="C601" s="2"/>
    </row>
    <row r="602">
      <c r="A602" s="70"/>
      <c r="C602" s="2"/>
    </row>
    <row r="603">
      <c r="A603" s="70"/>
      <c r="C603" s="2"/>
    </row>
    <row r="604">
      <c r="A604" s="70"/>
      <c r="C604" s="2"/>
    </row>
    <row r="605">
      <c r="A605" s="70"/>
      <c r="C605" s="2"/>
    </row>
    <row r="606">
      <c r="A606" s="70"/>
      <c r="C606" s="2"/>
    </row>
    <row r="607">
      <c r="A607" s="70"/>
      <c r="C607" s="2"/>
    </row>
    <row r="608">
      <c r="A608" s="70"/>
      <c r="C608" s="2"/>
    </row>
    <row r="609">
      <c r="A609" s="70"/>
      <c r="C609" s="2"/>
    </row>
    <row r="610">
      <c r="A610" s="70"/>
      <c r="C610" s="2"/>
    </row>
    <row r="611">
      <c r="A611" s="70"/>
      <c r="C611" s="2"/>
    </row>
    <row r="612">
      <c r="A612" s="70"/>
      <c r="C612" s="2"/>
    </row>
    <row r="613">
      <c r="A613" s="70"/>
      <c r="C613" s="2"/>
    </row>
    <row r="614">
      <c r="A614" s="70"/>
      <c r="C614" s="2"/>
    </row>
    <row r="615">
      <c r="A615" s="70"/>
      <c r="C615" s="2"/>
    </row>
    <row r="616">
      <c r="A616" s="70"/>
      <c r="C616" s="2"/>
    </row>
    <row r="617">
      <c r="A617" s="70"/>
      <c r="C617" s="2"/>
    </row>
    <row r="618">
      <c r="A618" s="70"/>
      <c r="C618" s="2"/>
    </row>
    <row r="619">
      <c r="A619" s="70"/>
      <c r="C619" s="2"/>
    </row>
    <row r="620">
      <c r="A620" s="70"/>
      <c r="C620" s="2"/>
    </row>
    <row r="621">
      <c r="A621" s="70"/>
      <c r="C621" s="2"/>
    </row>
    <row r="622">
      <c r="A622" s="70"/>
      <c r="C622" s="2"/>
    </row>
    <row r="623">
      <c r="A623" s="70"/>
      <c r="C623" s="2"/>
    </row>
    <row r="624">
      <c r="A624" s="70"/>
      <c r="C624" s="2"/>
    </row>
    <row r="625">
      <c r="A625" s="70"/>
      <c r="C625" s="2"/>
    </row>
    <row r="626">
      <c r="A626" s="70"/>
      <c r="C626" s="2"/>
    </row>
    <row r="627">
      <c r="A627" s="70"/>
      <c r="C627" s="2"/>
    </row>
    <row r="628">
      <c r="A628" s="70"/>
      <c r="C628" s="2"/>
    </row>
    <row r="629">
      <c r="A629" s="70"/>
      <c r="C629" s="2"/>
    </row>
    <row r="630">
      <c r="A630" s="70"/>
      <c r="C630" s="2"/>
    </row>
    <row r="631">
      <c r="A631" s="70"/>
      <c r="C631" s="2"/>
    </row>
    <row r="632">
      <c r="A632" s="70"/>
      <c r="C632" s="2"/>
    </row>
    <row r="633">
      <c r="A633" s="70"/>
      <c r="C633" s="2"/>
    </row>
    <row r="634">
      <c r="A634" s="70"/>
      <c r="C634" s="2"/>
    </row>
    <row r="635">
      <c r="A635" s="70"/>
      <c r="C635" s="2"/>
    </row>
    <row r="636">
      <c r="A636" s="70"/>
      <c r="C636" s="2"/>
    </row>
    <row r="637">
      <c r="A637" s="70"/>
      <c r="C637" s="2"/>
    </row>
    <row r="638">
      <c r="A638" s="70"/>
      <c r="C638" s="2"/>
    </row>
    <row r="639">
      <c r="A639" s="70"/>
      <c r="C639" s="2"/>
    </row>
    <row r="640">
      <c r="A640" s="70"/>
      <c r="C640" s="2"/>
    </row>
    <row r="641">
      <c r="A641" s="70"/>
      <c r="C641" s="2"/>
    </row>
    <row r="642">
      <c r="A642" s="70"/>
      <c r="C642" s="2"/>
    </row>
    <row r="643">
      <c r="A643" s="70"/>
      <c r="C643" s="2"/>
    </row>
    <row r="644">
      <c r="A644" s="70"/>
      <c r="C644" s="2"/>
    </row>
    <row r="645">
      <c r="A645" s="70"/>
      <c r="C645" s="2"/>
    </row>
    <row r="646">
      <c r="A646" s="70"/>
      <c r="C646" s="2"/>
    </row>
    <row r="647">
      <c r="A647" s="70"/>
      <c r="C647" s="2"/>
    </row>
    <row r="648">
      <c r="A648" s="70"/>
      <c r="C648" s="2"/>
    </row>
    <row r="649">
      <c r="A649" s="70"/>
      <c r="C649" s="2"/>
    </row>
    <row r="650">
      <c r="A650" s="70"/>
      <c r="C650" s="2"/>
    </row>
    <row r="651">
      <c r="A651" s="70"/>
      <c r="C651" s="2"/>
    </row>
    <row r="652">
      <c r="A652" s="70"/>
      <c r="C652" s="2"/>
    </row>
    <row r="653">
      <c r="A653" s="70"/>
      <c r="C653" s="2"/>
    </row>
    <row r="654">
      <c r="A654" s="70"/>
      <c r="C654" s="2"/>
    </row>
    <row r="655">
      <c r="A655" s="70"/>
      <c r="C655" s="2"/>
    </row>
    <row r="656">
      <c r="A656" s="70"/>
      <c r="C656" s="2"/>
    </row>
    <row r="657">
      <c r="A657" s="70"/>
      <c r="C657" s="2"/>
    </row>
    <row r="658">
      <c r="A658" s="70"/>
      <c r="C658" s="2"/>
    </row>
    <row r="659">
      <c r="A659" s="70"/>
      <c r="C659" s="2"/>
    </row>
    <row r="660">
      <c r="A660" s="70"/>
      <c r="C660" s="2"/>
    </row>
    <row r="661">
      <c r="A661" s="70"/>
      <c r="C661" s="2"/>
    </row>
    <row r="662">
      <c r="A662" s="70"/>
      <c r="C662" s="2"/>
    </row>
    <row r="663">
      <c r="A663" s="70"/>
      <c r="C663" s="2"/>
    </row>
    <row r="664">
      <c r="A664" s="70"/>
      <c r="C664" s="2"/>
    </row>
    <row r="665">
      <c r="A665" s="70"/>
      <c r="C665" s="2"/>
    </row>
    <row r="666">
      <c r="A666" s="70"/>
      <c r="C666" s="2"/>
    </row>
    <row r="667">
      <c r="A667" s="70"/>
      <c r="C667" s="2"/>
    </row>
    <row r="668">
      <c r="A668" s="70"/>
      <c r="C668" s="2"/>
    </row>
    <row r="669">
      <c r="A669" s="70"/>
      <c r="C669" s="2"/>
    </row>
    <row r="670">
      <c r="A670" s="70"/>
      <c r="C670" s="2"/>
    </row>
    <row r="671">
      <c r="A671" s="70"/>
      <c r="C671" s="2"/>
    </row>
    <row r="672">
      <c r="A672" s="70"/>
      <c r="C672" s="2"/>
    </row>
    <row r="673">
      <c r="A673" s="70"/>
      <c r="C673" s="2"/>
    </row>
    <row r="674">
      <c r="A674" s="70"/>
      <c r="C674" s="2"/>
    </row>
    <row r="675">
      <c r="A675" s="70"/>
      <c r="C675" s="2"/>
    </row>
    <row r="676">
      <c r="A676" s="70"/>
      <c r="C676" s="2"/>
    </row>
    <row r="677">
      <c r="A677" s="70"/>
      <c r="C677" s="2"/>
    </row>
    <row r="678">
      <c r="A678" s="70"/>
      <c r="C678" s="2"/>
    </row>
    <row r="679">
      <c r="A679" s="70"/>
      <c r="C679" s="2"/>
    </row>
    <row r="680">
      <c r="A680" s="70"/>
      <c r="C680" s="2"/>
    </row>
    <row r="681">
      <c r="A681" s="70"/>
      <c r="C681" s="2"/>
    </row>
    <row r="682">
      <c r="A682" s="70"/>
      <c r="C682" s="2"/>
    </row>
    <row r="683">
      <c r="A683" s="70"/>
      <c r="C683" s="2"/>
    </row>
    <row r="684">
      <c r="A684" s="70"/>
      <c r="C684" s="2"/>
    </row>
    <row r="685">
      <c r="A685" s="70"/>
      <c r="C685" s="2"/>
    </row>
    <row r="686">
      <c r="A686" s="70"/>
      <c r="C686" s="2"/>
    </row>
    <row r="687">
      <c r="A687" s="70"/>
      <c r="C687" s="2"/>
    </row>
    <row r="688">
      <c r="A688" s="70"/>
      <c r="C688" s="2"/>
    </row>
    <row r="689">
      <c r="A689" s="70"/>
      <c r="C689" s="2"/>
    </row>
    <row r="690">
      <c r="A690" s="70"/>
      <c r="C690" s="2"/>
    </row>
    <row r="691">
      <c r="A691" s="70"/>
      <c r="C691" s="2"/>
    </row>
    <row r="692">
      <c r="A692" s="70"/>
      <c r="C692" s="2"/>
    </row>
    <row r="693">
      <c r="A693" s="70"/>
      <c r="C693" s="2"/>
    </row>
    <row r="694">
      <c r="A694" s="70"/>
      <c r="C694" s="2"/>
    </row>
    <row r="695">
      <c r="A695" s="70"/>
      <c r="C695" s="2"/>
    </row>
    <row r="696">
      <c r="A696" s="70"/>
      <c r="C696" s="2"/>
    </row>
    <row r="697">
      <c r="A697" s="70"/>
      <c r="C697" s="2"/>
    </row>
    <row r="698">
      <c r="A698" s="70"/>
      <c r="C698" s="2"/>
    </row>
    <row r="699">
      <c r="A699" s="70"/>
      <c r="C699" s="2"/>
    </row>
    <row r="700">
      <c r="A700" s="70"/>
      <c r="C700" s="2"/>
    </row>
    <row r="701">
      <c r="A701" s="70"/>
      <c r="C701" s="2"/>
    </row>
    <row r="702">
      <c r="A702" s="70"/>
      <c r="C702" s="2"/>
    </row>
    <row r="703">
      <c r="A703" s="70"/>
      <c r="C703" s="2"/>
    </row>
    <row r="704">
      <c r="A704" s="70"/>
      <c r="C704" s="2"/>
    </row>
    <row r="705">
      <c r="A705" s="70"/>
      <c r="C705" s="2"/>
    </row>
    <row r="706">
      <c r="A706" s="70"/>
      <c r="C706" s="2"/>
    </row>
    <row r="707">
      <c r="A707" s="70"/>
      <c r="C707" s="2"/>
    </row>
    <row r="708">
      <c r="A708" s="70"/>
      <c r="C708" s="2"/>
    </row>
    <row r="709">
      <c r="A709" s="70"/>
      <c r="C709" s="2"/>
    </row>
    <row r="710">
      <c r="A710" s="70"/>
      <c r="C710" s="2"/>
    </row>
    <row r="711">
      <c r="A711" s="70"/>
      <c r="C711" s="2"/>
    </row>
    <row r="712">
      <c r="A712" s="70"/>
      <c r="C712" s="2"/>
    </row>
    <row r="713">
      <c r="A713" s="70"/>
      <c r="C713" s="2"/>
    </row>
    <row r="714">
      <c r="A714" s="70"/>
      <c r="C714" s="2"/>
    </row>
    <row r="715">
      <c r="A715" s="70"/>
      <c r="C715" s="2"/>
    </row>
    <row r="716">
      <c r="A716" s="70"/>
      <c r="C716" s="2"/>
    </row>
    <row r="717">
      <c r="A717" s="70"/>
      <c r="C717" s="2"/>
    </row>
    <row r="718">
      <c r="A718" s="70"/>
      <c r="C718" s="2"/>
    </row>
    <row r="719">
      <c r="A719" s="70"/>
      <c r="C719" s="2"/>
    </row>
    <row r="720">
      <c r="A720" s="70"/>
      <c r="C720" s="2"/>
    </row>
    <row r="721">
      <c r="A721" s="70"/>
      <c r="C721" s="2"/>
    </row>
    <row r="722">
      <c r="A722" s="70"/>
      <c r="C722" s="2"/>
    </row>
    <row r="723">
      <c r="A723" s="70"/>
      <c r="C723" s="2"/>
    </row>
    <row r="724">
      <c r="A724" s="70"/>
      <c r="C724" s="2"/>
    </row>
    <row r="725">
      <c r="A725" s="70"/>
      <c r="C725" s="2"/>
    </row>
    <row r="726">
      <c r="A726" s="70"/>
      <c r="C726" s="2"/>
    </row>
    <row r="727">
      <c r="A727" s="70"/>
      <c r="C727" s="2"/>
    </row>
    <row r="728">
      <c r="A728" s="70"/>
      <c r="C728" s="2"/>
    </row>
    <row r="729">
      <c r="A729" s="70"/>
      <c r="C729" s="2"/>
    </row>
    <row r="730">
      <c r="A730" s="70"/>
      <c r="C730" s="2"/>
    </row>
    <row r="731">
      <c r="A731" s="70"/>
      <c r="C731" s="2"/>
    </row>
    <row r="732">
      <c r="A732" s="70"/>
      <c r="C732" s="2"/>
    </row>
    <row r="733">
      <c r="A733" s="70"/>
      <c r="C733" s="2"/>
    </row>
    <row r="734">
      <c r="A734" s="70"/>
      <c r="C734" s="2"/>
    </row>
    <row r="735">
      <c r="A735" s="70"/>
      <c r="C735" s="2"/>
    </row>
    <row r="736">
      <c r="A736" s="70"/>
      <c r="C736" s="2"/>
    </row>
    <row r="737">
      <c r="A737" s="70"/>
      <c r="C737" s="2"/>
    </row>
    <row r="738">
      <c r="A738" s="70"/>
      <c r="C738" s="2"/>
    </row>
    <row r="739">
      <c r="A739" s="70"/>
      <c r="C739" s="2"/>
    </row>
    <row r="740">
      <c r="A740" s="70"/>
      <c r="C740" s="2"/>
    </row>
    <row r="741">
      <c r="A741" s="70"/>
      <c r="C741" s="2"/>
    </row>
    <row r="742">
      <c r="A742" s="70"/>
      <c r="C742" s="2"/>
    </row>
    <row r="743">
      <c r="A743" s="70"/>
      <c r="C743" s="2"/>
    </row>
    <row r="744">
      <c r="A744" s="70"/>
      <c r="C744" s="2"/>
    </row>
    <row r="745">
      <c r="A745" s="70"/>
      <c r="C745" s="2"/>
    </row>
    <row r="746">
      <c r="A746" s="70"/>
      <c r="C746" s="2"/>
    </row>
    <row r="747">
      <c r="A747" s="70"/>
      <c r="C747" s="2"/>
    </row>
    <row r="748">
      <c r="A748" s="70"/>
      <c r="C748" s="2"/>
    </row>
    <row r="749">
      <c r="A749" s="70"/>
      <c r="C749" s="2"/>
    </row>
    <row r="750">
      <c r="A750" s="70"/>
      <c r="C750" s="2"/>
    </row>
    <row r="751">
      <c r="A751" s="70"/>
      <c r="C751" s="2"/>
    </row>
    <row r="752">
      <c r="A752" s="70"/>
      <c r="C752" s="2"/>
    </row>
    <row r="753">
      <c r="A753" s="70"/>
      <c r="C753" s="2"/>
    </row>
    <row r="754">
      <c r="A754" s="70"/>
      <c r="C754" s="2"/>
    </row>
    <row r="755">
      <c r="A755" s="70"/>
      <c r="C755" s="2"/>
    </row>
    <row r="756">
      <c r="A756" s="70"/>
      <c r="C756" s="2"/>
    </row>
    <row r="757">
      <c r="A757" s="70"/>
      <c r="C757" s="2"/>
    </row>
    <row r="758">
      <c r="A758" s="70"/>
      <c r="C758" s="2"/>
    </row>
    <row r="759">
      <c r="A759" s="70"/>
      <c r="C759" s="2"/>
    </row>
    <row r="760">
      <c r="A760" s="70"/>
      <c r="C760" s="2"/>
    </row>
    <row r="761">
      <c r="A761" s="70"/>
      <c r="C761" s="2"/>
    </row>
    <row r="762">
      <c r="A762" s="70"/>
      <c r="C762" s="2"/>
    </row>
    <row r="763">
      <c r="A763" s="70"/>
      <c r="C763" s="2"/>
    </row>
    <row r="764">
      <c r="A764" s="70"/>
      <c r="C764" s="2"/>
    </row>
    <row r="765">
      <c r="A765" s="70"/>
      <c r="C765" s="2"/>
    </row>
    <row r="766">
      <c r="A766" s="70"/>
      <c r="C766" s="2"/>
    </row>
    <row r="767">
      <c r="A767" s="70"/>
      <c r="C767" s="2"/>
    </row>
    <row r="768">
      <c r="A768" s="70"/>
      <c r="C768" s="2"/>
    </row>
    <row r="769">
      <c r="A769" s="70"/>
      <c r="C769" s="2"/>
    </row>
    <row r="770">
      <c r="A770" s="70"/>
      <c r="C770" s="2"/>
    </row>
    <row r="771">
      <c r="A771" s="70"/>
      <c r="C771" s="2"/>
    </row>
    <row r="772">
      <c r="A772" s="70"/>
      <c r="C772" s="2"/>
    </row>
    <row r="773">
      <c r="A773" s="70"/>
      <c r="C773" s="2"/>
    </row>
    <row r="774">
      <c r="A774" s="70"/>
      <c r="C774" s="2"/>
    </row>
    <row r="775">
      <c r="A775" s="70"/>
      <c r="C775" s="2"/>
    </row>
    <row r="776">
      <c r="A776" s="70"/>
      <c r="C776" s="2"/>
    </row>
    <row r="777">
      <c r="A777" s="70"/>
      <c r="C777" s="2"/>
    </row>
    <row r="778">
      <c r="A778" s="70"/>
      <c r="C778" s="2"/>
    </row>
    <row r="779">
      <c r="A779" s="70"/>
      <c r="C779" s="2"/>
    </row>
    <row r="780">
      <c r="A780" s="70"/>
      <c r="C780" s="2"/>
    </row>
    <row r="781">
      <c r="A781" s="70"/>
      <c r="C781" s="2"/>
    </row>
    <row r="782">
      <c r="A782" s="70"/>
      <c r="C782" s="2"/>
    </row>
    <row r="783">
      <c r="A783" s="70"/>
      <c r="C783" s="2"/>
    </row>
    <row r="784">
      <c r="A784" s="70"/>
      <c r="C784" s="2"/>
    </row>
    <row r="785">
      <c r="A785" s="70"/>
      <c r="C785" s="2"/>
    </row>
    <row r="786">
      <c r="A786" s="70"/>
      <c r="C786" s="2"/>
    </row>
    <row r="787">
      <c r="A787" s="70"/>
      <c r="C787" s="2"/>
    </row>
    <row r="788">
      <c r="A788" s="70"/>
      <c r="C788" s="2"/>
    </row>
    <row r="789">
      <c r="A789" s="70"/>
      <c r="C789" s="2"/>
    </row>
    <row r="790">
      <c r="A790" s="70"/>
      <c r="C790" s="2"/>
    </row>
    <row r="791">
      <c r="A791" s="70"/>
      <c r="C791" s="2"/>
    </row>
    <row r="792">
      <c r="A792" s="70"/>
      <c r="C792" s="2"/>
    </row>
    <row r="793">
      <c r="A793" s="70"/>
      <c r="C793" s="2"/>
    </row>
    <row r="794">
      <c r="A794" s="70"/>
      <c r="C794" s="2"/>
    </row>
    <row r="795">
      <c r="A795" s="70"/>
      <c r="C795" s="2"/>
    </row>
    <row r="796">
      <c r="A796" s="70"/>
      <c r="C796" s="2"/>
    </row>
    <row r="797">
      <c r="A797" s="70"/>
      <c r="C797" s="2"/>
    </row>
    <row r="798">
      <c r="A798" s="70"/>
      <c r="C798" s="2"/>
    </row>
    <row r="799">
      <c r="A799" s="70"/>
      <c r="C799" s="2"/>
    </row>
    <row r="800">
      <c r="A800" s="70"/>
      <c r="C800" s="2"/>
    </row>
    <row r="801">
      <c r="A801" s="70"/>
      <c r="C801" s="2"/>
    </row>
    <row r="802">
      <c r="A802" s="70"/>
      <c r="C802" s="2"/>
    </row>
    <row r="803">
      <c r="A803" s="70"/>
      <c r="C803" s="2"/>
    </row>
    <row r="804">
      <c r="A804" s="70"/>
      <c r="C804" s="2"/>
    </row>
    <row r="805">
      <c r="A805" s="70"/>
      <c r="C805" s="2"/>
    </row>
    <row r="806">
      <c r="A806" s="70"/>
      <c r="C806" s="2"/>
    </row>
    <row r="807">
      <c r="A807" s="70"/>
      <c r="C807" s="2"/>
    </row>
    <row r="808">
      <c r="A808" s="70"/>
      <c r="C808" s="2"/>
    </row>
    <row r="809">
      <c r="A809" s="70"/>
      <c r="C809" s="2"/>
    </row>
    <row r="810">
      <c r="A810" s="70"/>
      <c r="C810" s="2"/>
    </row>
    <row r="811">
      <c r="A811" s="70"/>
      <c r="C811" s="2"/>
    </row>
    <row r="812">
      <c r="A812" s="70"/>
      <c r="C812" s="2"/>
    </row>
    <row r="813">
      <c r="A813" s="70"/>
      <c r="C813" s="2"/>
    </row>
    <row r="814">
      <c r="A814" s="70"/>
      <c r="C814" s="2"/>
    </row>
    <row r="815">
      <c r="A815" s="70"/>
      <c r="C815" s="2"/>
    </row>
    <row r="816">
      <c r="A816" s="70"/>
      <c r="C816" s="2"/>
    </row>
    <row r="817">
      <c r="A817" s="70"/>
      <c r="C817" s="2"/>
    </row>
    <row r="818">
      <c r="A818" s="70"/>
      <c r="C818" s="2"/>
    </row>
    <row r="819">
      <c r="A819" s="70"/>
      <c r="C819" s="2"/>
    </row>
    <row r="820">
      <c r="A820" s="70"/>
      <c r="C820" s="2"/>
    </row>
    <row r="821">
      <c r="A821" s="70"/>
      <c r="C821" s="2"/>
    </row>
    <row r="822">
      <c r="A822" s="70"/>
      <c r="C822" s="2"/>
    </row>
    <row r="823">
      <c r="A823" s="70"/>
      <c r="C823" s="2"/>
    </row>
    <row r="824">
      <c r="A824" s="70"/>
      <c r="C824" s="2"/>
    </row>
    <row r="825">
      <c r="A825" s="70"/>
      <c r="C825" s="2"/>
    </row>
    <row r="826">
      <c r="A826" s="70"/>
      <c r="C826" s="2"/>
    </row>
    <row r="827">
      <c r="A827" s="70"/>
      <c r="C827" s="2"/>
    </row>
    <row r="828">
      <c r="A828" s="70"/>
      <c r="C828" s="2"/>
    </row>
    <row r="829">
      <c r="A829" s="70"/>
      <c r="C829" s="2"/>
    </row>
    <row r="830">
      <c r="A830" s="70"/>
      <c r="C830" s="2"/>
    </row>
    <row r="831">
      <c r="A831" s="70"/>
      <c r="C831" s="2"/>
    </row>
    <row r="832">
      <c r="A832" s="70"/>
      <c r="C832" s="2"/>
    </row>
    <row r="833">
      <c r="A833" s="70"/>
      <c r="C833" s="2"/>
    </row>
    <row r="834">
      <c r="A834" s="70"/>
      <c r="C834" s="2"/>
    </row>
    <row r="835">
      <c r="A835" s="70"/>
      <c r="C835" s="2"/>
    </row>
    <row r="836">
      <c r="A836" s="70"/>
      <c r="C836" s="2"/>
    </row>
    <row r="837">
      <c r="A837" s="70"/>
      <c r="C837" s="2"/>
    </row>
    <row r="838">
      <c r="A838" s="70"/>
      <c r="C838" s="2"/>
    </row>
    <row r="839">
      <c r="A839" s="70"/>
      <c r="C839" s="2"/>
    </row>
    <row r="840">
      <c r="A840" s="70"/>
      <c r="C840" s="2"/>
    </row>
    <row r="841">
      <c r="A841" s="70"/>
      <c r="C841" s="2"/>
    </row>
    <row r="842">
      <c r="A842" s="70"/>
      <c r="C842" s="2"/>
    </row>
    <row r="843">
      <c r="A843" s="70"/>
      <c r="C843" s="2"/>
    </row>
    <row r="844">
      <c r="A844" s="70"/>
      <c r="C844" s="2"/>
    </row>
    <row r="845">
      <c r="A845" s="70"/>
      <c r="C845" s="2"/>
    </row>
    <row r="846">
      <c r="A846" s="70"/>
      <c r="C846" s="2"/>
    </row>
    <row r="847">
      <c r="A847" s="70"/>
      <c r="C847" s="2"/>
    </row>
    <row r="848">
      <c r="A848" s="70"/>
      <c r="C848" s="2"/>
    </row>
    <row r="849">
      <c r="A849" s="70"/>
      <c r="C849" s="2"/>
    </row>
    <row r="850">
      <c r="A850" s="70"/>
      <c r="C850" s="2"/>
    </row>
    <row r="851">
      <c r="A851" s="70"/>
      <c r="C851" s="2"/>
    </row>
    <row r="852">
      <c r="A852" s="70"/>
      <c r="C852" s="2"/>
    </row>
    <row r="853">
      <c r="A853" s="70"/>
      <c r="C853" s="2"/>
    </row>
    <row r="854">
      <c r="A854" s="70"/>
      <c r="C854" s="2"/>
    </row>
    <row r="855">
      <c r="A855" s="70"/>
      <c r="C855" s="2"/>
    </row>
    <row r="856">
      <c r="A856" s="70"/>
      <c r="C856" s="2"/>
    </row>
    <row r="857">
      <c r="A857" s="70"/>
      <c r="C857" s="2"/>
    </row>
    <row r="858">
      <c r="A858" s="70"/>
      <c r="C858" s="2"/>
    </row>
    <row r="859">
      <c r="A859" s="70"/>
      <c r="C859" s="2"/>
    </row>
    <row r="860">
      <c r="A860" s="70"/>
      <c r="C860" s="2"/>
    </row>
    <row r="861">
      <c r="A861" s="70"/>
      <c r="C861" s="2"/>
    </row>
    <row r="862">
      <c r="A862" s="70"/>
      <c r="C862" s="2"/>
    </row>
    <row r="863">
      <c r="A863" s="70"/>
      <c r="C863" s="2"/>
    </row>
    <row r="864">
      <c r="A864" s="70"/>
      <c r="C864" s="2"/>
    </row>
    <row r="865">
      <c r="A865" s="70"/>
      <c r="C865" s="2"/>
    </row>
    <row r="866">
      <c r="A866" s="70"/>
      <c r="C866" s="2"/>
    </row>
    <row r="867">
      <c r="A867" s="70"/>
      <c r="C867" s="2"/>
    </row>
    <row r="868">
      <c r="A868" s="70"/>
      <c r="C868" s="2"/>
    </row>
    <row r="869">
      <c r="A869" s="70"/>
      <c r="C869" s="2"/>
    </row>
    <row r="870">
      <c r="A870" s="70"/>
      <c r="C870" s="2"/>
    </row>
    <row r="871">
      <c r="A871" s="70"/>
      <c r="C871" s="2"/>
    </row>
    <row r="872">
      <c r="A872" s="70"/>
      <c r="C872" s="2"/>
    </row>
    <row r="873">
      <c r="A873" s="70"/>
      <c r="C873" s="2"/>
    </row>
    <row r="874">
      <c r="A874" s="70"/>
      <c r="C874" s="2"/>
    </row>
    <row r="875">
      <c r="A875" s="70"/>
      <c r="C875" s="2"/>
    </row>
    <row r="876">
      <c r="A876" s="70"/>
      <c r="C876" s="2"/>
    </row>
    <row r="877">
      <c r="A877" s="70"/>
      <c r="C877" s="2"/>
    </row>
    <row r="878">
      <c r="A878" s="70"/>
      <c r="C878" s="2"/>
    </row>
    <row r="879">
      <c r="A879" s="70"/>
      <c r="C879" s="2"/>
    </row>
    <row r="880">
      <c r="A880" s="70"/>
      <c r="C880" s="2"/>
    </row>
    <row r="881">
      <c r="A881" s="70"/>
      <c r="C881" s="2"/>
    </row>
    <row r="882">
      <c r="A882" s="70"/>
      <c r="C882" s="2"/>
    </row>
    <row r="883">
      <c r="A883" s="70"/>
      <c r="C883" s="2"/>
    </row>
    <row r="884">
      <c r="A884" s="70"/>
      <c r="C884" s="2"/>
    </row>
    <row r="885">
      <c r="A885" s="70"/>
      <c r="C885" s="2"/>
    </row>
    <row r="886">
      <c r="A886" s="70"/>
      <c r="C886" s="2"/>
    </row>
    <row r="887">
      <c r="A887" s="70"/>
      <c r="C887" s="2"/>
    </row>
    <row r="888">
      <c r="A888" s="70"/>
      <c r="C888" s="2"/>
    </row>
    <row r="889">
      <c r="A889" s="70"/>
      <c r="C889" s="2"/>
    </row>
    <row r="890">
      <c r="A890" s="70"/>
      <c r="C890" s="2"/>
    </row>
    <row r="891">
      <c r="A891" s="70"/>
      <c r="C891" s="2"/>
    </row>
    <row r="892">
      <c r="A892" s="70"/>
      <c r="C892" s="2"/>
    </row>
    <row r="893">
      <c r="A893" s="70"/>
      <c r="C893" s="2"/>
    </row>
    <row r="894">
      <c r="A894" s="70"/>
      <c r="C894" s="2"/>
    </row>
    <row r="895">
      <c r="A895" s="70"/>
      <c r="C895" s="2"/>
    </row>
    <row r="896">
      <c r="A896" s="70"/>
      <c r="C896" s="2"/>
    </row>
    <row r="897">
      <c r="A897" s="70"/>
      <c r="C897" s="2"/>
    </row>
    <row r="898">
      <c r="A898" s="70"/>
      <c r="C898" s="2"/>
    </row>
    <row r="899">
      <c r="A899" s="70"/>
      <c r="C899" s="2"/>
    </row>
    <row r="900">
      <c r="A900" s="70"/>
      <c r="C900" s="2"/>
    </row>
    <row r="901">
      <c r="A901" s="70"/>
      <c r="C901" s="2"/>
    </row>
    <row r="902">
      <c r="A902" s="70"/>
      <c r="C902" s="2"/>
    </row>
    <row r="903">
      <c r="A903" s="70"/>
      <c r="C903" s="2"/>
    </row>
    <row r="904">
      <c r="A904" s="70"/>
      <c r="C904" s="2"/>
    </row>
    <row r="905">
      <c r="A905" s="70"/>
      <c r="C905" s="2"/>
    </row>
    <row r="906">
      <c r="A906" s="70"/>
      <c r="C906" s="2"/>
    </row>
    <row r="907">
      <c r="A907" s="70"/>
      <c r="C907" s="2"/>
    </row>
    <row r="908">
      <c r="A908" s="70"/>
      <c r="C908" s="2"/>
    </row>
    <row r="909">
      <c r="A909" s="70"/>
      <c r="C909" s="2"/>
    </row>
    <row r="910">
      <c r="A910" s="70"/>
      <c r="C910" s="2"/>
    </row>
    <row r="911">
      <c r="A911" s="70"/>
      <c r="C911" s="2"/>
    </row>
    <row r="912">
      <c r="A912" s="70"/>
      <c r="C912" s="2"/>
    </row>
    <row r="913">
      <c r="A913" s="70"/>
      <c r="C913" s="2"/>
    </row>
    <row r="914">
      <c r="A914" s="70"/>
      <c r="C914" s="2"/>
    </row>
    <row r="915">
      <c r="A915" s="70"/>
      <c r="C915" s="2"/>
    </row>
    <row r="916">
      <c r="A916" s="70"/>
      <c r="C916" s="2"/>
    </row>
    <row r="917">
      <c r="A917" s="70"/>
      <c r="C917" s="2"/>
    </row>
    <row r="918">
      <c r="A918" s="70"/>
      <c r="C918" s="2"/>
    </row>
    <row r="919">
      <c r="A919" s="70"/>
      <c r="C919" s="2"/>
    </row>
    <row r="920">
      <c r="A920" s="70"/>
      <c r="C920" s="2"/>
    </row>
    <row r="921">
      <c r="A921" s="70"/>
      <c r="C921" s="2"/>
    </row>
    <row r="922">
      <c r="A922" s="70"/>
      <c r="C922" s="2"/>
    </row>
    <row r="923">
      <c r="A923" s="70"/>
      <c r="C923" s="2"/>
    </row>
    <row r="924">
      <c r="A924" s="70"/>
      <c r="C924" s="2"/>
    </row>
    <row r="925">
      <c r="A925" s="70"/>
      <c r="C925" s="2"/>
    </row>
    <row r="926">
      <c r="A926" s="70"/>
      <c r="C926" s="2"/>
    </row>
    <row r="927">
      <c r="A927" s="70"/>
      <c r="C927" s="2"/>
    </row>
    <row r="928">
      <c r="A928" s="70"/>
      <c r="C928" s="2"/>
    </row>
    <row r="929">
      <c r="A929" s="70"/>
      <c r="C929" s="2"/>
    </row>
    <row r="930">
      <c r="A930" s="70"/>
      <c r="C930" s="2"/>
    </row>
    <row r="931">
      <c r="A931" s="70"/>
      <c r="C931" s="2"/>
    </row>
    <row r="932">
      <c r="A932" s="70"/>
      <c r="C932" s="2"/>
    </row>
    <row r="933">
      <c r="A933" s="70"/>
      <c r="C933" s="2"/>
    </row>
    <row r="934">
      <c r="A934" s="70"/>
      <c r="C934" s="2"/>
    </row>
    <row r="935">
      <c r="A935" s="70"/>
      <c r="C935" s="2"/>
    </row>
    <row r="936">
      <c r="A936" s="70"/>
      <c r="C936" s="2"/>
    </row>
    <row r="937">
      <c r="A937" s="70"/>
      <c r="C937" s="2"/>
    </row>
    <row r="938">
      <c r="A938" s="70"/>
      <c r="C938" s="2"/>
    </row>
    <row r="939">
      <c r="A939" s="70"/>
      <c r="C939" s="2"/>
    </row>
    <row r="940">
      <c r="A940" s="70"/>
      <c r="C940" s="2"/>
    </row>
    <row r="941">
      <c r="A941" s="70"/>
      <c r="C941" s="2"/>
    </row>
    <row r="942">
      <c r="A942" s="70"/>
      <c r="C942" s="2"/>
    </row>
    <row r="943">
      <c r="A943" s="70"/>
      <c r="C943" s="2"/>
    </row>
    <row r="944">
      <c r="A944" s="70"/>
      <c r="C944" s="2"/>
    </row>
    <row r="945">
      <c r="A945" s="70"/>
      <c r="C945" s="2"/>
    </row>
    <row r="946">
      <c r="A946" s="70"/>
      <c r="C946" s="2"/>
    </row>
    <row r="947">
      <c r="A947" s="70"/>
      <c r="C947" s="2"/>
    </row>
    <row r="948">
      <c r="A948" s="70"/>
      <c r="C948" s="2"/>
    </row>
    <row r="949">
      <c r="A949" s="70"/>
      <c r="C949" s="2"/>
    </row>
    <row r="950">
      <c r="A950" s="70"/>
      <c r="C950" s="2"/>
    </row>
    <row r="951">
      <c r="A951" s="70"/>
      <c r="C951" s="2"/>
    </row>
    <row r="952">
      <c r="A952" s="70"/>
      <c r="C952" s="2"/>
    </row>
    <row r="953">
      <c r="A953" s="70"/>
      <c r="C953" s="2"/>
    </row>
    <row r="954">
      <c r="A954" s="70"/>
      <c r="C954" s="2"/>
    </row>
    <row r="955">
      <c r="A955" s="70"/>
      <c r="C955" s="2"/>
    </row>
    <row r="956">
      <c r="A956" s="70"/>
      <c r="C956" s="2"/>
    </row>
    <row r="957">
      <c r="A957" s="70"/>
      <c r="C957" s="2"/>
    </row>
    <row r="958">
      <c r="A958" s="70"/>
      <c r="C958" s="2"/>
    </row>
    <row r="959">
      <c r="A959" s="70"/>
      <c r="C959" s="2"/>
    </row>
    <row r="960">
      <c r="A960" s="70"/>
      <c r="C960" s="2"/>
    </row>
    <row r="961">
      <c r="A961" s="70"/>
      <c r="C961" s="2"/>
    </row>
    <row r="962">
      <c r="A962" s="70"/>
      <c r="C962" s="2"/>
    </row>
    <row r="963">
      <c r="A963" s="70"/>
      <c r="C963" s="2"/>
    </row>
    <row r="964">
      <c r="A964" s="70"/>
      <c r="C964" s="2"/>
    </row>
    <row r="965">
      <c r="A965" s="70"/>
      <c r="C965" s="2"/>
    </row>
    <row r="966">
      <c r="A966" s="70"/>
      <c r="C966" s="2"/>
    </row>
    <row r="967">
      <c r="A967" s="70"/>
      <c r="C967" s="2"/>
    </row>
    <row r="968">
      <c r="A968" s="70"/>
      <c r="C968" s="2"/>
    </row>
    <row r="969">
      <c r="A969" s="70"/>
      <c r="C969" s="2"/>
    </row>
    <row r="970">
      <c r="A970" s="70"/>
      <c r="C970" s="2"/>
    </row>
    <row r="971">
      <c r="A971" s="70"/>
      <c r="C971" s="2"/>
    </row>
    <row r="972">
      <c r="A972" s="70"/>
      <c r="C972" s="2"/>
    </row>
    <row r="973">
      <c r="A973" s="70"/>
      <c r="C973" s="2"/>
    </row>
    <row r="974">
      <c r="A974" s="70"/>
      <c r="C974" s="2"/>
    </row>
    <row r="975">
      <c r="A975" s="70"/>
      <c r="C975" s="2"/>
    </row>
    <row r="976">
      <c r="A976" s="70"/>
      <c r="C976" s="2"/>
    </row>
    <row r="977">
      <c r="A977" s="70"/>
      <c r="C977" s="2"/>
    </row>
    <row r="978">
      <c r="A978" s="70"/>
      <c r="C978" s="2"/>
    </row>
    <row r="979">
      <c r="A979" s="70"/>
      <c r="C979" s="2"/>
    </row>
    <row r="980">
      <c r="A980" s="70"/>
      <c r="C980" s="2"/>
    </row>
    <row r="981">
      <c r="A981" s="70"/>
      <c r="C981" s="2"/>
    </row>
    <row r="982">
      <c r="A982" s="70"/>
      <c r="C982" s="2"/>
    </row>
    <row r="983">
      <c r="A983" s="70"/>
      <c r="C983" s="2"/>
    </row>
    <row r="984">
      <c r="A984" s="70"/>
      <c r="C984" s="2"/>
    </row>
    <row r="985">
      <c r="A985" s="70"/>
      <c r="C985" s="2"/>
    </row>
    <row r="986">
      <c r="A986" s="70"/>
      <c r="C986" s="2"/>
    </row>
    <row r="987">
      <c r="A987" s="70"/>
      <c r="C987" s="2"/>
    </row>
    <row r="988">
      <c r="A988" s="70"/>
      <c r="C988" s="2"/>
    </row>
    <row r="989">
      <c r="A989" s="70"/>
      <c r="C989" s="2"/>
    </row>
    <row r="990">
      <c r="A990" s="70"/>
      <c r="C990" s="2"/>
    </row>
    <row r="991">
      <c r="A991" s="70"/>
      <c r="C991" s="2"/>
    </row>
    <row r="992">
      <c r="A992" s="70"/>
      <c r="C992" s="2"/>
    </row>
    <row r="993">
      <c r="A993" s="70"/>
      <c r="C993" s="2"/>
    </row>
    <row r="994">
      <c r="A994" s="70"/>
      <c r="C994" s="2"/>
    </row>
    <row r="995">
      <c r="A995" s="70"/>
      <c r="C995" s="2"/>
    </row>
    <row r="996">
      <c r="A996" s="70"/>
      <c r="C996" s="2"/>
    </row>
    <row r="997">
      <c r="A997" s="70"/>
      <c r="C997" s="2"/>
    </row>
    <row r="998">
      <c r="A998" s="70"/>
      <c r="C998" s="2"/>
    </row>
    <row r="999">
      <c r="A999" s="70"/>
      <c r="C999" s="2"/>
    </row>
    <row r="1000">
      <c r="A1000" s="70"/>
      <c r="C1000" s="2"/>
    </row>
    <row r="1001">
      <c r="A1001" s="70"/>
      <c r="C1001" s="2"/>
    </row>
    <row r="1002">
      <c r="A1002" s="70"/>
      <c r="C1002" s="2"/>
    </row>
    <row r="1003">
      <c r="A1003" s="70"/>
      <c r="C1003" s="2"/>
    </row>
    <row r="1004">
      <c r="A1004" s="70"/>
      <c r="C1004" s="2"/>
    </row>
  </sheetData>
  <printOptions gridLines="1" horizontalCentered="1"/>
  <pageMargins bottom="0.75" footer="0.0" header="0.0" left="0.7" right="0.7" top="0.75"/>
  <pageSetup cellComments="atEnd" orientation="portrait" pageOrder="overThenDown"/>
  <drawing r:id="rId4"/>
  <legacy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31.63"/>
  </cols>
  <sheetData>
    <row r="1">
      <c r="A1" s="65" t="s">
        <v>7</v>
      </c>
      <c r="B1" s="22" t="s">
        <v>62</v>
      </c>
      <c r="C1" s="18" t="s">
        <v>48</v>
      </c>
      <c r="D1" s="9"/>
      <c r="E1" s="9"/>
      <c r="F1" s="9"/>
    </row>
    <row r="2">
      <c r="A2" s="65">
        <v>45362.0</v>
      </c>
      <c r="B2" s="5" t="s">
        <v>637</v>
      </c>
      <c r="C2" s="8">
        <v>1125.0</v>
      </c>
      <c r="D2" s="9"/>
      <c r="E2" s="66" t="s">
        <v>15</v>
      </c>
      <c r="F2" s="31">
        <f>sum(C2:C10004)</f>
        <v>27538.5</v>
      </c>
    </row>
    <row r="3">
      <c r="A3" s="65">
        <v>45379.0</v>
      </c>
      <c r="B3" s="5" t="s">
        <v>638</v>
      </c>
      <c r="C3" s="8">
        <v>0.5</v>
      </c>
      <c r="D3" s="9"/>
      <c r="E3" s="9"/>
      <c r="F3" s="9"/>
    </row>
    <row r="4">
      <c r="A4" s="65">
        <v>45379.0</v>
      </c>
      <c r="B4" s="5" t="s">
        <v>639</v>
      </c>
      <c r="C4" s="8">
        <v>5406.84</v>
      </c>
      <c r="D4" s="9"/>
      <c r="E4" s="9"/>
      <c r="F4" s="9"/>
    </row>
    <row r="5">
      <c r="A5" s="65">
        <v>45384.0</v>
      </c>
      <c r="B5" s="5" t="s">
        <v>640</v>
      </c>
      <c r="C5" s="8">
        <v>3092.5</v>
      </c>
      <c r="D5" s="9"/>
      <c r="E5" s="9"/>
      <c r="F5" s="9"/>
    </row>
    <row r="6">
      <c r="A6" s="65">
        <v>45511.0</v>
      </c>
      <c r="B6" s="5" t="s">
        <v>641</v>
      </c>
      <c r="C6" s="8">
        <v>0.5</v>
      </c>
      <c r="D6" s="9"/>
      <c r="E6" s="9"/>
      <c r="F6" s="9"/>
    </row>
    <row r="7">
      <c r="A7" s="61">
        <v>45511.0</v>
      </c>
      <c r="B7" s="4" t="s">
        <v>642</v>
      </c>
      <c r="C7" s="12">
        <v>5411.66</v>
      </c>
    </row>
    <row r="8">
      <c r="A8" s="61">
        <v>45520.0</v>
      </c>
      <c r="B8" s="4" t="s">
        <v>643</v>
      </c>
      <c r="C8" s="12">
        <v>10000.0</v>
      </c>
    </row>
    <row r="9">
      <c r="A9" s="61">
        <v>45589.0</v>
      </c>
      <c r="B9" s="4" t="s">
        <v>644</v>
      </c>
      <c r="C9" s="12">
        <v>101.0</v>
      </c>
    </row>
    <row r="10">
      <c r="A10" s="61">
        <v>45726.0</v>
      </c>
      <c r="B10" s="4" t="s">
        <v>645</v>
      </c>
      <c r="C10" s="12">
        <v>975.0</v>
      </c>
    </row>
    <row r="11">
      <c r="A11" s="61">
        <v>45804.0</v>
      </c>
      <c r="B11" s="4" t="s">
        <v>160</v>
      </c>
      <c r="C11" s="12">
        <v>350.0</v>
      </c>
    </row>
    <row r="12">
      <c r="A12" s="61">
        <v>46024.0</v>
      </c>
      <c r="B12" s="4" t="s">
        <v>644</v>
      </c>
      <c r="C12" s="12">
        <v>175.5</v>
      </c>
    </row>
    <row r="13">
      <c r="A13" s="61">
        <v>46091.0</v>
      </c>
      <c r="B13" s="4" t="s">
        <v>646</v>
      </c>
      <c r="C13" s="12">
        <v>900.0</v>
      </c>
    </row>
    <row r="14">
      <c r="A14" s="70"/>
      <c r="C14" s="2"/>
    </row>
    <row r="15">
      <c r="A15" s="70"/>
      <c r="C15" s="2"/>
    </row>
    <row r="16">
      <c r="A16" s="70"/>
      <c r="C16" s="2"/>
    </row>
    <row r="17">
      <c r="A17" s="70"/>
      <c r="C17" s="2"/>
    </row>
    <row r="18">
      <c r="A18" s="70"/>
      <c r="C18" s="2"/>
    </row>
    <row r="19">
      <c r="A19" s="70"/>
      <c r="C19" s="2"/>
    </row>
    <row r="20">
      <c r="A20" s="70"/>
      <c r="C20" s="2"/>
    </row>
    <row r="21">
      <c r="A21" s="70"/>
      <c r="C21" s="2"/>
    </row>
    <row r="22">
      <c r="A22" s="70"/>
      <c r="C22" s="2"/>
    </row>
    <row r="23">
      <c r="A23" s="70"/>
      <c r="C23" s="2"/>
    </row>
    <row r="24">
      <c r="A24" s="70"/>
      <c r="C24" s="2"/>
    </row>
    <row r="25">
      <c r="A25" s="70"/>
      <c r="C25" s="2"/>
    </row>
    <row r="26">
      <c r="A26" s="70"/>
      <c r="C26" s="2"/>
    </row>
    <row r="27">
      <c r="A27" s="70"/>
      <c r="C27" s="2"/>
    </row>
    <row r="28">
      <c r="A28" s="70"/>
      <c r="C28" s="2"/>
    </row>
    <row r="29">
      <c r="A29" s="70"/>
      <c r="C29" s="2"/>
    </row>
    <row r="30">
      <c r="A30" s="70"/>
      <c r="C30" s="2"/>
    </row>
    <row r="31">
      <c r="A31" s="70"/>
      <c r="C31" s="2"/>
    </row>
    <row r="32">
      <c r="A32" s="70"/>
      <c r="C32" s="2"/>
    </row>
    <row r="33">
      <c r="A33" s="70"/>
      <c r="C33" s="2"/>
    </row>
    <row r="34">
      <c r="A34" s="70"/>
      <c r="C34" s="2"/>
    </row>
    <row r="35">
      <c r="A35" s="70"/>
      <c r="C35" s="2"/>
    </row>
    <row r="36">
      <c r="A36" s="70"/>
      <c r="C36" s="2"/>
    </row>
    <row r="37">
      <c r="A37" s="70"/>
      <c r="C37" s="2"/>
    </row>
    <row r="38">
      <c r="A38" s="70"/>
      <c r="C38" s="2"/>
    </row>
    <row r="39">
      <c r="A39" s="70"/>
      <c r="C39" s="2"/>
    </row>
    <row r="40">
      <c r="A40" s="70"/>
      <c r="C40" s="2"/>
    </row>
    <row r="41">
      <c r="A41" s="70"/>
      <c r="C41" s="2"/>
    </row>
    <row r="42">
      <c r="A42" s="70"/>
      <c r="C42" s="2"/>
    </row>
    <row r="43">
      <c r="A43" s="70"/>
      <c r="C43" s="2"/>
    </row>
    <row r="44">
      <c r="A44" s="70"/>
      <c r="C44" s="2"/>
    </row>
    <row r="45">
      <c r="A45" s="70"/>
      <c r="C45" s="2"/>
    </row>
    <row r="46">
      <c r="A46" s="70"/>
      <c r="C46" s="2"/>
    </row>
    <row r="47">
      <c r="A47" s="70"/>
      <c r="C47" s="2"/>
    </row>
    <row r="48">
      <c r="A48" s="70"/>
      <c r="C48" s="2"/>
    </row>
    <row r="49">
      <c r="A49" s="70"/>
      <c r="C49" s="2"/>
    </row>
    <row r="50">
      <c r="A50" s="70"/>
      <c r="C50" s="2"/>
    </row>
    <row r="51">
      <c r="A51" s="70"/>
      <c r="C51" s="2"/>
    </row>
    <row r="52">
      <c r="A52" s="70"/>
      <c r="C52" s="2"/>
    </row>
    <row r="53">
      <c r="A53" s="70"/>
      <c r="C53" s="2"/>
    </row>
    <row r="54">
      <c r="A54" s="70"/>
      <c r="C54" s="2"/>
    </row>
    <row r="55">
      <c r="A55" s="70"/>
      <c r="C55" s="2"/>
    </row>
    <row r="56">
      <c r="A56" s="70"/>
      <c r="C56" s="2"/>
    </row>
    <row r="57">
      <c r="A57" s="70"/>
      <c r="C57" s="2"/>
    </row>
    <row r="58">
      <c r="A58" s="70"/>
      <c r="C58" s="2"/>
    </row>
    <row r="59">
      <c r="A59" s="70"/>
      <c r="C59" s="2"/>
    </row>
    <row r="60">
      <c r="A60" s="70"/>
      <c r="C60" s="2"/>
    </row>
    <row r="61">
      <c r="A61" s="70"/>
      <c r="C61" s="2"/>
    </row>
    <row r="62">
      <c r="A62" s="70"/>
      <c r="C62" s="2"/>
    </row>
    <row r="63">
      <c r="A63" s="70"/>
      <c r="C63" s="2"/>
    </row>
    <row r="64">
      <c r="A64" s="70"/>
      <c r="C64" s="2"/>
    </row>
    <row r="65">
      <c r="A65" s="70"/>
      <c r="C65" s="2"/>
    </row>
    <row r="66">
      <c r="A66" s="70"/>
      <c r="C66" s="2"/>
    </row>
    <row r="67">
      <c r="A67" s="70"/>
      <c r="C67" s="2"/>
    </row>
    <row r="68">
      <c r="A68" s="70"/>
      <c r="C68" s="2"/>
    </row>
    <row r="69">
      <c r="A69" s="70"/>
      <c r="C69" s="2"/>
    </row>
    <row r="70">
      <c r="A70" s="70"/>
      <c r="C70" s="2"/>
    </row>
    <row r="71">
      <c r="A71" s="70"/>
      <c r="C71" s="2"/>
    </row>
    <row r="72">
      <c r="A72" s="70"/>
      <c r="C72" s="2"/>
    </row>
    <row r="73">
      <c r="A73" s="70"/>
      <c r="C73" s="2"/>
    </row>
    <row r="74">
      <c r="A74" s="70"/>
      <c r="C74" s="2"/>
    </row>
    <row r="75">
      <c r="A75" s="70"/>
      <c r="C75" s="2"/>
    </row>
    <row r="76">
      <c r="A76" s="70"/>
      <c r="C76" s="2"/>
    </row>
    <row r="77">
      <c r="A77" s="70"/>
      <c r="C77" s="2"/>
    </row>
    <row r="78">
      <c r="A78" s="70"/>
      <c r="C78" s="2"/>
    </row>
    <row r="79">
      <c r="A79" s="70"/>
      <c r="C79" s="2"/>
    </row>
    <row r="80">
      <c r="A80" s="70"/>
      <c r="C80" s="2"/>
    </row>
    <row r="81">
      <c r="A81" s="70"/>
      <c r="C81" s="2"/>
    </row>
    <row r="82">
      <c r="A82" s="70"/>
      <c r="C82" s="2"/>
    </row>
    <row r="83">
      <c r="A83" s="70"/>
      <c r="C83" s="2"/>
    </row>
    <row r="84">
      <c r="A84" s="70"/>
      <c r="C84" s="2"/>
    </row>
    <row r="85">
      <c r="A85" s="70"/>
      <c r="C85" s="2"/>
    </row>
    <row r="86">
      <c r="A86" s="70"/>
      <c r="C86" s="2"/>
    </row>
    <row r="87">
      <c r="A87" s="70"/>
      <c r="C87" s="2"/>
    </row>
    <row r="88">
      <c r="A88" s="70"/>
      <c r="C88" s="2"/>
    </row>
    <row r="89">
      <c r="A89" s="70"/>
      <c r="C89" s="2"/>
    </row>
    <row r="90">
      <c r="A90" s="70"/>
      <c r="C90" s="2"/>
    </row>
    <row r="91">
      <c r="A91" s="70"/>
      <c r="C91" s="2"/>
    </row>
    <row r="92">
      <c r="A92" s="70"/>
      <c r="C92" s="2"/>
    </row>
    <row r="93">
      <c r="A93" s="70"/>
      <c r="C93" s="2"/>
    </row>
    <row r="94">
      <c r="A94" s="70"/>
      <c r="C94" s="2"/>
    </row>
    <row r="95">
      <c r="A95" s="70"/>
      <c r="C95" s="2"/>
    </row>
    <row r="96">
      <c r="A96" s="70"/>
      <c r="C96" s="2"/>
    </row>
    <row r="97">
      <c r="A97" s="70"/>
      <c r="C97" s="2"/>
    </row>
    <row r="98">
      <c r="A98" s="70"/>
      <c r="C98" s="2"/>
    </row>
    <row r="99">
      <c r="A99" s="70"/>
      <c r="C99" s="2"/>
    </row>
    <row r="100">
      <c r="A100" s="70"/>
      <c r="C100" s="2"/>
    </row>
    <row r="101">
      <c r="A101" s="70"/>
      <c r="C101" s="2"/>
    </row>
    <row r="102">
      <c r="A102" s="70"/>
      <c r="C102" s="2"/>
    </row>
    <row r="103">
      <c r="A103" s="70"/>
      <c r="C103" s="2"/>
    </row>
    <row r="104">
      <c r="A104" s="70"/>
      <c r="C104" s="2"/>
    </row>
    <row r="105">
      <c r="A105" s="70"/>
      <c r="C105" s="2"/>
    </row>
    <row r="106">
      <c r="A106" s="70"/>
      <c r="C106" s="2"/>
    </row>
    <row r="107">
      <c r="A107" s="70"/>
      <c r="C107" s="2"/>
    </row>
    <row r="108">
      <c r="A108" s="70"/>
      <c r="C108" s="2"/>
    </row>
    <row r="109">
      <c r="A109" s="70"/>
      <c r="C109" s="2"/>
    </row>
    <row r="110">
      <c r="A110" s="70"/>
      <c r="C110" s="2"/>
    </row>
    <row r="111">
      <c r="A111" s="70"/>
      <c r="C111" s="2"/>
    </row>
    <row r="112">
      <c r="A112" s="70"/>
      <c r="C112" s="2"/>
    </row>
    <row r="113">
      <c r="A113" s="70"/>
      <c r="C113" s="2"/>
    </row>
    <row r="114">
      <c r="A114" s="70"/>
      <c r="C114" s="2"/>
    </row>
    <row r="115">
      <c r="A115" s="70"/>
      <c r="C115" s="2"/>
    </row>
    <row r="116">
      <c r="A116" s="70"/>
      <c r="C116" s="2"/>
    </row>
    <row r="117">
      <c r="A117" s="70"/>
      <c r="C117" s="2"/>
    </row>
    <row r="118">
      <c r="A118" s="70"/>
      <c r="C118" s="2"/>
    </row>
    <row r="119">
      <c r="A119" s="70"/>
      <c r="C119" s="2"/>
    </row>
    <row r="120">
      <c r="A120" s="70"/>
      <c r="C120" s="2"/>
    </row>
    <row r="121">
      <c r="A121" s="70"/>
      <c r="C121" s="2"/>
    </row>
    <row r="122">
      <c r="A122" s="70"/>
      <c r="C122" s="2"/>
    </row>
    <row r="123">
      <c r="A123" s="70"/>
      <c r="C123" s="2"/>
    </row>
    <row r="124">
      <c r="A124" s="70"/>
      <c r="C124" s="2"/>
    </row>
    <row r="125">
      <c r="A125" s="70"/>
      <c r="C125" s="2"/>
    </row>
    <row r="126">
      <c r="A126" s="70"/>
      <c r="C126" s="2"/>
    </row>
    <row r="127">
      <c r="A127" s="70"/>
      <c r="C127" s="2"/>
    </row>
    <row r="128">
      <c r="A128" s="70"/>
      <c r="C128" s="2"/>
    </row>
    <row r="129">
      <c r="A129" s="70"/>
      <c r="C129" s="2"/>
    </row>
    <row r="130">
      <c r="A130" s="70"/>
      <c r="C130" s="2"/>
    </row>
    <row r="131">
      <c r="A131" s="70"/>
      <c r="C131" s="2"/>
    </row>
    <row r="132">
      <c r="A132" s="70"/>
      <c r="C132" s="2"/>
    </row>
    <row r="133">
      <c r="A133" s="70"/>
      <c r="C133" s="2"/>
    </row>
    <row r="134">
      <c r="A134" s="70"/>
      <c r="C134" s="2"/>
    </row>
    <row r="135">
      <c r="A135" s="70"/>
      <c r="C135" s="2"/>
    </row>
    <row r="136">
      <c r="A136" s="70"/>
      <c r="C136" s="2"/>
    </row>
    <row r="137">
      <c r="A137" s="70"/>
      <c r="C137" s="2"/>
    </row>
    <row r="138">
      <c r="A138" s="70"/>
      <c r="C138" s="2"/>
    </row>
    <row r="139">
      <c r="A139" s="70"/>
      <c r="C139" s="2"/>
    </row>
    <row r="140">
      <c r="A140" s="70"/>
      <c r="C140" s="2"/>
    </row>
    <row r="141">
      <c r="A141" s="70"/>
      <c r="C141" s="2"/>
    </row>
    <row r="142">
      <c r="A142" s="70"/>
      <c r="C142" s="2"/>
    </row>
    <row r="143">
      <c r="A143" s="70"/>
      <c r="C143" s="2"/>
    </row>
    <row r="144">
      <c r="A144" s="70"/>
      <c r="C144" s="2"/>
    </row>
    <row r="145">
      <c r="A145" s="70"/>
      <c r="C145" s="2"/>
    </row>
    <row r="146">
      <c r="A146" s="70"/>
      <c r="C146" s="2"/>
    </row>
    <row r="147">
      <c r="A147" s="70"/>
      <c r="C147" s="2"/>
    </row>
    <row r="148">
      <c r="A148" s="70"/>
      <c r="C148" s="2"/>
    </row>
    <row r="149">
      <c r="A149" s="70"/>
      <c r="C149" s="2"/>
    </row>
    <row r="150">
      <c r="A150" s="70"/>
      <c r="C150" s="2"/>
    </row>
    <row r="151">
      <c r="A151" s="70"/>
      <c r="C151" s="2"/>
    </row>
    <row r="152">
      <c r="A152" s="70"/>
      <c r="C152" s="2"/>
    </row>
    <row r="153">
      <c r="A153" s="70"/>
      <c r="C153" s="2"/>
    </row>
    <row r="154">
      <c r="A154" s="70"/>
      <c r="C154" s="2"/>
    </row>
    <row r="155">
      <c r="A155" s="70"/>
      <c r="C155" s="2"/>
    </row>
    <row r="156">
      <c r="A156" s="70"/>
      <c r="C156" s="2"/>
    </row>
    <row r="157">
      <c r="A157" s="70"/>
      <c r="C157" s="2"/>
    </row>
    <row r="158">
      <c r="A158" s="70"/>
      <c r="C158" s="2"/>
    </row>
    <row r="159">
      <c r="A159" s="70"/>
      <c r="C159" s="2"/>
    </row>
    <row r="160">
      <c r="A160" s="70"/>
      <c r="C160" s="2"/>
    </row>
    <row r="161">
      <c r="A161" s="70"/>
      <c r="C161" s="2"/>
    </row>
    <row r="162">
      <c r="A162" s="70"/>
      <c r="C162" s="2"/>
    </row>
    <row r="163">
      <c r="A163" s="70"/>
      <c r="C163" s="2"/>
    </row>
    <row r="164">
      <c r="A164" s="70"/>
      <c r="C164" s="2"/>
    </row>
    <row r="165">
      <c r="A165" s="70"/>
      <c r="C165" s="2"/>
    </row>
    <row r="166">
      <c r="A166" s="70"/>
      <c r="C166" s="2"/>
    </row>
    <row r="167">
      <c r="A167" s="70"/>
      <c r="C167" s="2"/>
    </row>
    <row r="168">
      <c r="A168" s="70"/>
      <c r="C168" s="2"/>
    </row>
    <row r="169">
      <c r="A169" s="70"/>
      <c r="C169" s="2"/>
    </row>
    <row r="170">
      <c r="A170" s="70"/>
      <c r="C170" s="2"/>
    </row>
    <row r="171">
      <c r="A171" s="70"/>
      <c r="C171" s="2"/>
    </row>
    <row r="172">
      <c r="A172" s="70"/>
      <c r="C172" s="2"/>
    </row>
    <row r="173">
      <c r="A173" s="70"/>
      <c r="C173" s="2"/>
    </row>
    <row r="174">
      <c r="A174" s="70"/>
      <c r="C174" s="2"/>
    </row>
    <row r="175">
      <c r="A175" s="70"/>
      <c r="C175" s="2"/>
    </row>
    <row r="176">
      <c r="A176" s="70"/>
      <c r="C176" s="2"/>
    </row>
    <row r="177">
      <c r="A177" s="70"/>
      <c r="C177" s="2"/>
    </row>
    <row r="178">
      <c r="A178" s="70"/>
      <c r="C178" s="2"/>
    </row>
    <row r="179">
      <c r="A179" s="70"/>
      <c r="C179" s="2"/>
    </row>
    <row r="180">
      <c r="A180" s="70"/>
      <c r="C180" s="2"/>
    </row>
    <row r="181">
      <c r="A181" s="70"/>
      <c r="C181" s="2"/>
    </row>
    <row r="182">
      <c r="A182" s="70"/>
      <c r="C182" s="2"/>
    </row>
    <row r="183">
      <c r="A183" s="70"/>
      <c r="C183" s="2"/>
    </row>
    <row r="184">
      <c r="A184" s="70"/>
      <c r="C184" s="2"/>
    </row>
    <row r="185">
      <c r="A185" s="70"/>
      <c r="C185" s="2"/>
    </row>
    <row r="186">
      <c r="A186" s="70"/>
      <c r="C186" s="2"/>
    </row>
    <row r="187">
      <c r="A187" s="70"/>
      <c r="C187" s="2"/>
    </row>
    <row r="188">
      <c r="A188" s="70"/>
      <c r="C188" s="2"/>
    </row>
    <row r="189">
      <c r="A189" s="70"/>
      <c r="C189" s="2"/>
    </row>
    <row r="190">
      <c r="A190" s="70"/>
      <c r="C190" s="2"/>
    </row>
    <row r="191">
      <c r="A191" s="70"/>
      <c r="C191" s="2"/>
    </row>
    <row r="192">
      <c r="A192" s="70"/>
      <c r="C192" s="2"/>
    </row>
    <row r="193">
      <c r="A193" s="70"/>
      <c r="C193" s="2"/>
    </row>
    <row r="194">
      <c r="A194" s="70"/>
      <c r="C194" s="2"/>
    </row>
    <row r="195">
      <c r="A195" s="70"/>
      <c r="C195" s="2"/>
    </row>
    <row r="196">
      <c r="A196" s="70"/>
      <c r="C196" s="2"/>
    </row>
    <row r="197">
      <c r="A197" s="70"/>
      <c r="C197" s="2"/>
    </row>
    <row r="198">
      <c r="A198" s="70"/>
      <c r="C198" s="2"/>
    </row>
    <row r="199">
      <c r="A199" s="70"/>
      <c r="C199" s="2"/>
    </row>
    <row r="200">
      <c r="A200" s="70"/>
      <c r="C200" s="2"/>
    </row>
    <row r="201">
      <c r="A201" s="70"/>
      <c r="C201" s="2"/>
    </row>
    <row r="202">
      <c r="A202" s="70"/>
      <c r="C202" s="2"/>
    </row>
    <row r="203">
      <c r="A203" s="70"/>
      <c r="C203" s="2"/>
    </row>
    <row r="204">
      <c r="A204" s="70"/>
      <c r="C204" s="2"/>
    </row>
    <row r="205">
      <c r="A205" s="70"/>
      <c r="C205" s="2"/>
    </row>
    <row r="206">
      <c r="A206" s="70"/>
      <c r="C206" s="2"/>
    </row>
    <row r="207">
      <c r="A207" s="70"/>
      <c r="C207" s="2"/>
    </row>
    <row r="208">
      <c r="A208" s="70"/>
      <c r="C208" s="2"/>
    </row>
    <row r="209">
      <c r="A209" s="70"/>
      <c r="C209" s="2"/>
    </row>
    <row r="210">
      <c r="A210" s="70"/>
      <c r="C210" s="2"/>
    </row>
    <row r="211">
      <c r="A211" s="70"/>
      <c r="C211" s="2"/>
    </row>
    <row r="212">
      <c r="A212" s="70"/>
      <c r="C212" s="2"/>
    </row>
    <row r="213">
      <c r="A213" s="70"/>
      <c r="C213" s="2"/>
    </row>
    <row r="214">
      <c r="A214" s="70"/>
      <c r="C214" s="2"/>
    </row>
    <row r="215">
      <c r="A215" s="70"/>
      <c r="C215" s="2"/>
    </row>
    <row r="216">
      <c r="A216" s="70"/>
      <c r="C216" s="2"/>
    </row>
    <row r="217">
      <c r="A217" s="70"/>
      <c r="C217" s="2"/>
    </row>
    <row r="218">
      <c r="A218" s="70"/>
      <c r="C218" s="2"/>
    </row>
    <row r="219">
      <c r="A219" s="70"/>
      <c r="C219" s="2"/>
    </row>
    <row r="220">
      <c r="A220" s="70"/>
      <c r="C220" s="2"/>
    </row>
    <row r="221">
      <c r="A221" s="70"/>
      <c r="C221" s="2"/>
    </row>
    <row r="222">
      <c r="A222" s="70"/>
      <c r="C222" s="2"/>
    </row>
    <row r="223">
      <c r="A223" s="70"/>
      <c r="C223" s="2"/>
    </row>
    <row r="224">
      <c r="A224" s="70"/>
      <c r="C224" s="2"/>
    </row>
    <row r="225">
      <c r="A225" s="70"/>
      <c r="C225" s="2"/>
    </row>
    <row r="226">
      <c r="A226" s="70"/>
      <c r="C226" s="2"/>
    </row>
    <row r="227">
      <c r="A227" s="70"/>
      <c r="C227" s="2"/>
    </row>
    <row r="228">
      <c r="A228" s="70"/>
      <c r="C228" s="2"/>
    </row>
    <row r="229">
      <c r="A229" s="70"/>
      <c r="C229" s="2"/>
    </row>
    <row r="230">
      <c r="A230" s="70"/>
      <c r="C230" s="2"/>
    </row>
    <row r="231">
      <c r="A231" s="70"/>
      <c r="C231" s="2"/>
    </row>
    <row r="232">
      <c r="A232" s="70"/>
      <c r="C232" s="2"/>
    </row>
    <row r="233">
      <c r="A233" s="70"/>
      <c r="C233" s="2"/>
    </row>
    <row r="234">
      <c r="A234" s="70"/>
      <c r="C234" s="2"/>
    </row>
    <row r="235">
      <c r="A235" s="70"/>
      <c r="C235" s="2"/>
    </row>
    <row r="236">
      <c r="A236" s="70"/>
      <c r="C236" s="2"/>
    </row>
    <row r="237">
      <c r="A237" s="70"/>
      <c r="C237" s="2"/>
    </row>
    <row r="238">
      <c r="A238" s="70"/>
      <c r="C238" s="2"/>
    </row>
    <row r="239">
      <c r="A239" s="70"/>
      <c r="C239" s="2"/>
    </row>
    <row r="240">
      <c r="A240" s="70"/>
      <c r="C240" s="2"/>
    </row>
    <row r="241">
      <c r="A241" s="70"/>
      <c r="C241" s="2"/>
    </row>
    <row r="242">
      <c r="A242" s="70"/>
      <c r="C242" s="2"/>
    </row>
    <row r="243">
      <c r="A243" s="70"/>
      <c r="C243" s="2"/>
    </row>
    <row r="244">
      <c r="A244" s="70"/>
      <c r="C244" s="2"/>
    </row>
    <row r="245">
      <c r="A245" s="70"/>
      <c r="C245" s="2"/>
    </row>
    <row r="246">
      <c r="A246" s="70"/>
      <c r="C246" s="2"/>
    </row>
    <row r="247">
      <c r="A247" s="70"/>
      <c r="C247" s="2"/>
    </row>
    <row r="248">
      <c r="A248" s="70"/>
      <c r="C248" s="2"/>
    </row>
    <row r="249">
      <c r="A249" s="70"/>
      <c r="C249" s="2"/>
    </row>
    <row r="250">
      <c r="A250" s="70"/>
      <c r="C250" s="2"/>
    </row>
    <row r="251">
      <c r="A251" s="70"/>
      <c r="C251" s="2"/>
    </row>
    <row r="252">
      <c r="A252" s="70"/>
      <c r="C252" s="2"/>
    </row>
    <row r="253">
      <c r="A253" s="70"/>
      <c r="C253" s="2"/>
    </row>
    <row r="254">
      <c r="A254" s="70"/>
      <c r="C254" s="2"/>
    </row>
    <row r="255">
      <c r="A255" s="70"/>
      <c r="C255" s="2"/>
    </row>
    <row r="256">
      <c r="A256" s="70"/>
      <c r="C256" s="2"/>
    </row>
    <row r="257">
      <c r="A257" s="70"/>
      <c r="C257" s="2"/>
    </row>
    <row r="258">
      <c r="A258" s="70"/>
      <c r="C258" s="2"/>
    </row>
    <row r="259">
      <c r="A259" s="70"/>
      <c r="C259" s="2"/>
    </row>
    <row r="260">
      <c r="A260" s="70"/>
      <c r="C260" s="2"/>
    </row>
    <row r="261">
      <c r="A261" s="70"/>
      <c r="C261" s="2"/>
    </row>
    <row r="262">
      <c r="A262" s="70"/>
      <c r="C262" s="2"/>
    </row>
    <row r="263">
      <c r="A263" s="70"/>
      <c r="C263" s="2"/>
    </row>
    <row r="264">
      <c r="A264" s="70"/>
      <c r="C264" s="2"/>
    </row>
    <row r="265">
      <c r="A265" s="70"/>
      <c r="C265" s="2"/>
    </row>
    <row r="266">
      <c r="A266" s="70"/>
      <c r="C266" s="2"/>
    </row>
    <row r="267">
      <c r="A267" s="70"/>
      <c r="C267" s="2"/>
    </row>
    <row r="268">
      <c r="A268" s="70"/>
      <c r="C268" s="2"/>
    </row>
    <row r="269">
      <c r="A269" s="70"/>
      <c r="C269" s="2"/>
    </row>
    <row r="270">
      <c r="A270" s="70"/>
      <c r="C270" s="2"/>
    </row>
    <row r="271">
      <c r="A271" s="70"/>
      <c r="C271" s="2"/>
    </row>
    <row r="272">
      <c r="A272" s="70"/>
      <c r="C272" s="2"/>
    </row>
    <row r="273">
      <c r="A273" s="70"/>
      <c r="C273" s="2"/>
    </row>
    <row r="274">
      <c r="A274" s="70"/>
      <c r="C274" s="2"/>
    </row>
    <row r="275">
      <c r="A275" s="70"/>
      <c r="C275" s="2"/>
    </row>
    <row r="276">
      <c r="A276" s="70"/>
      <c r="C276" s="2"/>
    </row>
    <row r="277">
      <c r="A277" s="70"/>
      <c r="C277" s="2"/>
    </row>
    <row r="278">
      <c r="A278" s="70"/>
      <c r="C278" s="2"/>
    </row>
    <row r="279">
      <c r="A279" s="70"/>
      <c r="C279" s="2"/>
    </row>
    <row r="280">
      <c r="A280" s="70"/>
      <c r="C280" s="2"/>
    </row>
    <row r="281">
      <c r="A281" s="70"/>
      <c r="C281" s="2"/>
    </row>
    <row r="282">
      <c r="A282" s="70"/>
      <c r="C282" s="2"/>
    </row>
    <row r="283">
      <c r="A283" s="70"/>
      <c r="C283" s="2"/>
    </row>
    <row r="284">
      <c r="A284" s="70"/>
      <c r="C284" s="2"/>
    </row>
    <row r="285">
      <c r="A285" s="70"/>
      <c r="C285" s="2"/>
    </row>
    <row r="286">
      <c r="A286" s="70"/>
      <c r="C286" s="2"/>
    </row>
    <row r="287">
      <c r="A287" s="70"/>
      <c r="C287" s="2"/>
    </row>
    <row r="288">
      <c r="A288" s="70"/>
      <c r="C288" s="2"/>
    </row>
    <row r="289">
      <c r="A289" s="70"/>
      <c r="C289" s="2"/>
    </row>
    <row r="290">
      <c r="A290" s="70"/>
      <c r="C290" s="2"/>
    </row>
    <row r="291">
      <c r="A291" s="70"/>
      <c r="C291" s="2"/>
    </row>
    <row r="292">
      <c r="A292" s="70"/>
      <c r="C292" s="2"/>
    </row>
    <row r="293">
      <c r="A293" s="70"/>
      <c r="C293" s="2"/>
    </row>
    <row r="294">
      <c r="A294" s="70"/>
      <c r="C294" s="2"/>
    </row>
    <row r="295">
      <c r="A295" s="70"/>
      <c r="C295" s="2"/>
    </row>
    <row r="296">
      <c r="A296" s="70"/>
      <c r="C296" s="2"/>
    </row>
    <row r="297">
      <c r="A297" s="70"/>
      <c r="C297" s="2"/>
    </row>
    <row r="298">
      <c r="A298" s="70"/>
      <c r="C298" s="2"/>
    </row>
    <row r="299">
      <c r="A299" s="70"/>
      <c r="C299" s="2"/>
    </row>
    <row r="300">
      <c r="A300" s="70"/>
      <c r="C300" s="2"/>
    </row>
    <row r="301">
      <c r="A301" s="70"/>
      <c r="C301" s="2"/>
    </row>
    <row r="302">
      <c r="A302" s="70"/>
      <c r="C302" s="2"/>
    </row>
    <row r="303">
      <c r="A303" s="70"/>
      <c r="C303" s="2"/>
    </row>
    <row r="304">
      <c r="A304" s="70"/>
      <c r="C304" s="2"/>
    </row>
    <row r="305">
      <c r="A305" s="70"/>
      <c r="C305" s="2"/>
    </row>
    <row r="306">
      <c r="A306" s="70"/>
      <c r="C306" s="2"/>
    </row>
    <row r="307">
      <c r="A307" s="70"/>
      <c r="C307" s="2"/>
    </row>
    <row r="308">
      <c r="A308" s="70"/>
      <c r="C308" s="2"/>
    </row>
    <row r="309">
      <c r="A309" s="70"/>
      <c r="C309" s="2"/>
    </row>
    <row r="310">
      <c r="A310" s="70"/>
      <c r="C310" s="2"/>
    </row>
    <row r="311">
      <c r="A311" s="70"/>
      <c r="C311" s="2"/>
    </row>
    <row r="312">
      <c r="A312" s="70"/>
      <c r="C312" s="2"/>
    </row>
    <row r="313">
      <c r="A313" s="70"/>
      <c r="C313" s="2"/>
    </row>
    <row r="314">
      <c r="A314" s="70"/>
      <c r="C314" s="2"/>
    </row>
    <row r="315">
      <c r="A315" s="70"/>
      <c r="C315" s="2"/>
    </row>
    <row r="316">
      <c r="A316" s="70"/>
      <c r="C316" s="2"/>
    </row>
    <row r="317">
      <c r="A317" s="70"/>
      <c r="C317" s="2"/>
    </row>
    <row r="318">
      <c r="A318" s="70"/>
      <c r="C318" s="2"/>
    </row>
    <row r="319">
      <c r="A319" s="70"/>
      <c r="C319" s="2"/>
    </row>
    <row r="320">
      <c r="A320" s="70"/>
      <c r="C320" s="2"/>
    </row>
    <row r="321">
      <c r="A321" s="70"/>
      <c r="C321" s="2"/>
    </row>
    <row r="322">
      <c r="A322" s="70"/>
      <c r="C322" s="2"/>
    </row>
    <row r="323">
      <c r="A323" s="70"/>
      <c r="C323" s="2"/>
    </row>
    <row r="324">
      <c r="A324" s="70"/>
      <c r="C324" s="2"/>
    </row>
    <row r="325">
      <c r="A325" s="70"/>
      <c r="C325" s="2"/>
    </row>
    <row r="326">
      <c r="A326" s="70"/>
      <c r="C326" s="2"/>
    </row>
    <row r="327">
      <c r="A327" s="70"/>
      <c r="C327" s="2"/>
    </row>
    <row r="328">
      <c r="A328" s="70"/>
      <c r="C328" s="2"/>
    </row>
    <row r="329">
      <c r="A329" s="70"/>
      <c r="C329" s="2"/>
    </row>
    <row r="330">
      <c r="A330" s="70"/>
      <c r="C330" s="2"/>
    </row>
    <row r="331">
      <c r="A331" s="70"/>
      <c r="C331" s="2"/>
    </row>
    <row r="332">
      <c r="A332" s="70"/>
      <c r="C332" s="2"/>
    </row>
    <row r="333">
      <c r="A333" s="70"/>
      <c r="C333" s="2"/>
    </row>
    <row r="334">
      <c r="A334" s="70"/>
      <c r="C334" s="2"/>
    </row>
    <row r="335">
      <c r="A335" s="70"/>
      <c r="C335" s="2"/>
    </row>
    <row r="336">
      <c r="A336" s="70"/>
      <c r="C336" s="2"/>
    </row>
    <row r="337">
      <c r="A337" s="70"/>
      <c r="C337" s="2"/>
    </row>
    <row r="338">
      <c r="A338" s="70"/>
      <c r="C338" s="2"/>
    </row>
    <row r="339">
      <c r="A339" s="70"/>
      <c r="C339" s="2"/>
    </row>
    <row r="340">
      <c r="A340" s="70"/>
      <c r="C340" s="2"/>
    </row>
    <row r="341">
      <c r="A341" s="70"/>
      <c r="C341" s="2"/>
    </row>
    <row r="342">
      <c r="A342" s="70"/>
      <c r="C342" s="2"/>
    </row>
    <row r="343">
      <c r="A343" s="70"/>
      <c r="C343" s="2"/>
    </row>
    <row r="344">
      <c r="A344" s="70"/>
      <c r="C344" s="2"/>
    </row>
    <row r="345">
      <c r="A345" s="70"/>
      <c r="C345" s="2"/>
    </row>
    <row r="346">
      <c r="A346" s="70"/>
      <c r="C346" s="2"/>
    </row>
    <row r="347">
      <c r="A347" s="70"/>
      <c r="C347" s="2"/>
    </row>
    <row r="348">
      <c r="A348" s="70"/>
      <c r="C348" s="2"/>
    </row>
    <row r="349">
      <c r="A349" s="70"/>
      <c r="C349" s="2"/>
    </row>
    <row r="350">
      <c r="A350" s="70"/>
      <c r="C350" s="2"/>
    </row>
    <row r="351">
      <c r="A351" s="70"/>
      <c r="C351" s="2"/>
    </row>
    <row r="352">
      <c r="A352" s="70"/>
      <c r="C352" s="2"/>
    </row>
    <row r="353">
      <c r="A353" s="70"/>
      <c r="C353" s="2"/>
    </row>
    <row r="354">
      <c r="A354" s="70"/>
      <c r="C354" s="2"/>
    </row>
    <row r="355">
      <c r="A355" s="70"/>
      <c r="C355" s="2"/>
    </row>
    <row r="356">
      <c r="A356" s="70"/>
      <c r="C356" s="2"/>
    </row>
    <row r="357">
      <c r="A357" s="70"/>
      <c r="C357" s="2"/>
    </row>
    <row r="358">
      <c r="A358" s="70"/>
      <c r="C358" s="2"/>
    </row>
    <row r="359">
      <c r="A359" s="70"/>
      <c r="C359" s="2"/>
    </row>
    <row r="360">
      <c r="A360" s="70"/>
      <c r="C360" s="2"/>
    </row>
    <row r="361">
      <c r="A361" s="70"/>
      <c r="C361" s="2"/>
    </row>
    <row r="362">
      <c r="A362" s="70"/>
      <c r="C362" s="2"/>
    </row>
    <row r="363">
      <c r="A363" s="70"/>
      <c r="C363" s="2"/>
    </row>
    <row r="364">
      <c r="A364" s="70"/>
      <c r="C364" s="2"/>
    </row>
    <row r="365">
      <c r="A365" s="70"/>
      <c r="C365" s="2"/>
    </row>
    <row r="366">
      <c r="A366" s="70"/>
      <c r="C366" s="2"/>
    </row>
    <row r="367">
      <c r="A367" s="70"/>
      <c r="C367" s="2"/>
    </row>
    <row r="368">
      <c r="A368" s="70"/>
      <c r="C368" s="2"/>
    </row>
    <row r="369">
      <c r="A369" s="70"/>
      <c r="C369" s="2"/>
    </row>
    <row r="370">
      <c r="A370" s="70"/>
      <c r="C370" s="2"/>
    </row>
    <row r="371">
      <c r="A371" s="70"/>
      <c r="C371" s="2"/>
    </row>
    <row r="372">
      <c r="A372" s="70"/>
      <c r="C372" s="2"/>
    </row>
    <row r="373">
      <c r="A373" s="70"/>
      <c r="C373" s="2"/>
    </row>
    <row r="374">
      <c r="A374" s="70"/>
      <c r="C374" s="2"/>
    </row>
    <row r="375">
      <c r="A375" s="70"/>
      <c r="C375" s="2"/>
    </row>
    <row r="376">
      <c r="A376" s="70"/>
      <c r="C376" s="2"/>
    </row>
    <row r="377">
      <c r="A377" s="70"/>
      <c r="C377" s="2"/>
    </row>
    <row r="378">
      <c r="A378" s="70"/>
      <c r="C378" s="2"/>
    </row>
    <row r="379">
      <c r="A379" s="70"/>
      <c r="C379" s="2"/>
    </row>
    <row r="380">
      <c r="A380" s="70"/>
      <c r="C380" s="2"/>
    </row>
    <row r="381">
      <c r="A381" s="70"/>
      <c r="C381" s="2"/>
    </row>
    <row r="382">
      <c r="A382" s="70"/>
      <c r="C382" s="2"/>
    </row>
    <row r="383">
      <c r="A383" s="70"/>
      <c r="C383" s="2"/>
    </row>
    <row r="384">
      <c r="A384" s="70"/>
      <c r="C384" s="2"/>
    </row>
    <row r="385">
      <c r="A385" s="70"/>
      <c r="C385" s="2"/>
    </row>
    <row r="386">
      <c r="A386" s="70"/>
      <c r="C386" s="2"/>
    </row>
    <row r="387">
      <c r="A387" s="70"/>
      <c r="C387" s="2"/>
    </row>
    <row r="388">
      <c r="A388" s="70"/>
      <c r="C388" s="2"/>
    </row>
    <row r="389">
      <c r="A389" s="70"/>
      <c r="C389" s="2"/>
    </row>
    <row r="390">
      <c r="A390" s="70"/>
      <c r="C390" s="2"/>
    </row>
    <row r="391">
      <c r="A391" s="70"/>
      <c r="C391" s="2"/>
    </row>
    <row r="392">
      <c r="A392" s="70"/>
      <c r="C392" s="2"/>
    </row>
    <row r="393">
      <c r="A393" s="70"/>
      <c r="C393" s="2"/>
    </row>
    <row r="394">
      <c r="A394" s="70"/>
      <c r="C394" s="2"/>
    </row>
    <row r="395">
      <c r="A395" s="70"/>
      <c r="C395" s="2"/>
    </row>
    <row r="396">
      <c r="A396" s="70"/>
      <c r="C396" s="2"/>
    </row>
    <row r="397">
      <c r="A397" s="70"/>
      <c r="C397" s="2"/>
    </row>
    <row r="398">
      <c r="A398" s="70"/>
      <c r="C398" s="2"/>
    </row>
    <row r="399">
      <c r="A399" s="70"/>
      <c r="C399" s="2"/>
    </row>
    <row r="400">
      <c r="A400" s="70"/>
      <c r="C400" s="2"/>
    </row>
    <row r="401">
      <c r="A401" s="70"/>
      <c r="C401" s="2"/>
    </row>
    <row r="402">
      <c r="A402" s="70"/>
      <c r="C402" s="2"/>
    </row>
    <row r="403">
      <c r="A403" s="70"/>
      <c r="C403" s="2"/>
    </row>
    <row r="404">
      <c r="A404" s="70"/>
      <c r="C404" s="2"/>
    </row>
    <row r="405">
      <c r="A405" s="70"/>
      <c r="C405" s="2"/>
    </row>
    <row r="406">
      <c r="A406" s="70"/>
      <c r="C406" s="2"/>
    </row>
    <row r="407">
      <c r="A407" s="70"/>
      <c r="C407" s="2"/>
    </row>
    <row r="408">
      <c r="A408" s="70"/>
      <c r="C408" s="2"/>
    </row>
    <row r="409">
      <c r="A409" s="70"/>
      <c r="C409" s="2"/>
    </row>
    <row r="410">
      <c r="A410" s="70"/>
      <c r="C410" s="2"/>
    </row>
    <row r="411">
      <c r="A411" s="70"/>
      <c r="C411" s="2"/>
    </row>
    <row r="412">
      <c r="A412" s="70"/>
      <c r="C412" s="2"/>
    </row>
    <row r="413">
      <c r="A413" s="70"/>
      <c r="C413" s="2"/>
    </row>
    <row r="414">
      <c r="A414" s="70"/>
      <c r="C414" s="2"/>
    </row>
    <row r="415">
      <c r="A415" s="70"/>
      <c r="C415" s="2"/>
    </row>
    <row r="416">
      <c r="A416" s="70"/>
      <c r="C416" s="2"/>
    </row>
    <row r="417">
      <c r="A417" s="70"/>
      <c r="C417" s="2"/>
    </row>
    <row r="418">
      <c r="A418" s="70"/>
      <c r="C418" s="2"/>
    </row>
    <row r="419">
      <c r="A419" s="70"/>
      <c r="C419" s="2"/>
    </row>
    <row r="420">
      <c r="A420" s="70"/>
      <c r="C420" s="2"/>
    </row>
    <row r="421">
      <c r="A421" s="70"/>
      <c r="C421" s="2"/>
    </row>
    <row r="422">
      <c r="A422" s="70"/>
      <c r="C422" s="2"/>
    </row>
    <row r="423">
      <c r="A423" s="70"/>
      <c r="C423" s="2"/>
    </row>
    <row r="424">
      <c r="A424" s="70"/>
      <c r="C424" s="2"/>
    </row>
    <row r="425">
      <c r="A425" s="70"/>
      <c r="C425" s="2"/>
    </row>
    <row r="426">
      <c r="A426" s="70"/>
      <c r="C426" s="2"/>
    </row>
    <row r="427">
      <c r="A427" s="70"/>
      <c r="C427" s="2"/>
    </row>
    <row r="428">
      <c r="A428" s="70"/>
      <c r="C428" s="2"/>
    </row>
    <row r="429">
      <c r="A429" s="70"/>
      <c r="C429" s="2"/>
    </row>
    <row r="430">
      <c r="A430" s="70"/>
      <c r="C430" s="2"/>
    </row>
    <row r="431">
      <c r="A431" s="70"/>
      <c r="C431" s="2"/>
    </row>
    <row r="432">
      <c r="A432" s="70"/>
      <c r="C432" s="2"/>
    </row>
    <row r="433">
      <c r="A433" s="70"/>
      <c r="C433" s="2"/>
    </row>
    <row r="434">
      <c r="A434" s="70"/>
      <c r="C434" s="2"/>
    </row>
    <row r="435">
      <c r="A435" s="70"/>
      <c r="C435" s="2"/>
    </row>
    <row r="436">
      <c r="A436" s="70"/>
      <c r="C436" s="2"/>
    </row>
    <row r="437">
      <c r="A437" s="70"/>
      <c r="C437" s="2"/>
    </row>
    <row r="438">
      <c r="A438" s="70"/>
      <c r="C438" s="2"/>
    </row>
    <row r="439">
      <c r="A439" s="70"/>
      <c r="C439" s="2"/>
    </row>
    <row r="440">
      <c r="A440" s="70"/>
      <c r="C440" s="2"/>
    </row>
    <row r="441">
      <c r="A441" s="70"/>
      <c r="C441" s="2"/>
    </row>
    <row r="442">
      <c r="A442" s="70"/>
      <c r="C442" s="2"/>
    </row>
    <row r="443">
      <c r="A443" s="70"/>
      <c r="C443" s="2"/>
    </row>
    <row r="444">
      <c r="A444" s="70"/>
      <c r="C444" s="2"/>
    </row>
    <row r="445">
      <c r="A445" s="70"/>
      <c r="C445" s="2"/>
    </row>
    <row r="446">
      <c r="A446" s="70"/>
      <c r="C446" s="2"/>
    </row>
    <row r="447">
      <c r="A447" s="70"/>
      <c r="C447" s="2"/>
    </row>
    <row r="448">
      <c r="A448" s="70"/>
      <c r="C448" s="2"/>
    </row>
    <row r="449">
      <c r="A449" s="70"/>
      <c r="C449" s="2"/>
    </row>
    <row r="450">
      <c r="A450" s="70"/>
      <c r="C450" s="2"/>
    </row>
    <row r="451">
      <c r="A451" s="70"/>
      <c r="C451" s="2"/>
    </row>
    <row r="452">
      <c r="A452" s="70"/>
      <c r="C452" s="2"/>
    </row>
    <row r="453">
      <c r="A453" s="70"/>
      <c r="C453" s="2"/>
    </row>
    <row r="454">
      <c r="A454" s="70"/>
      <c r="C454" s="2"/>
    </row>
    <row r="455">
      <c r="A455" s="70"/>
      <c r="C455" s="2"/>
    </row>
    <row r="456">
      <c r="A456" s="70"/>
      <c r="C456" s="2"/>
    </row>
    <row r="457">
      <c r="A457" s="70"/>
      <c r="C457" s="2"/>
    </row>
    <row r="458">
      <c r="A458" s="70"/>
      <c r="C458" s="2"/>
    </row>
    <row r="459">
      <c r="A459" s="70"/>
      <c r="C459" s="2"/>
    </row>
    <row r="460">
      <c r="A460" s="70"/>
      <c r="C460" s="2"/>
    </row>
    <row r="461">
      <c r="A461" s="70"/>
      <c r="C461" s="2"/>
    </row>
    <row r="462">
      <c r="A462" s="70"/>
      <c r="C462" s="2"/>
    </row>
    <row r="463">
      <c r="A463" s="70"/>
      <c r="C463" s="2"/>
    </row>
    <row r="464">
      <c r="A464" s="70"/>
      <c r="C464" s="2"/>
    </row>
    <row r="465">
      <c r="A465" s="70"/>
      <c r="C465" s="2"/>
    </row>
    <row r="466">
      <c r="A466" s="70"/>
      <c r="C466" s="2"/>
    </row>
    <row r="467">
      <c r="A467" s="70"/>
      <c r="C467" s="2"/>
    </row>
    <row r="468">
      <c r="A468" s="70"/>
      <c r="C468" s="2"/>
    </row>
    <row r="469">
      <c r="A469" s="70"/>
      <c r="C469" s="2"/>
    </row>
    <row r="470">
      <c r="A470" s="70"/>
      <c r="C470" s="2"/>
    </row>
    <row r="471">
      <c r="A471" s="70"/>
      <c r="C471" s="2"/>
    </row>
    <row r="472">
      <c r="A472" s="70"/>
      <c r="C472" s="2"/>
    </row>
    <row r="473">
      <c r="A473" s="70"/>
      <c r="C473" s="2"/>
    </row>
    <row r="474">
      <c r="A474" s="70"/>
      <c r="C474" s="2"/>
    </row>
    <row r="475">
      <c r="A475" s="70"/>
      <c r="C475" s="2"/>
    </row>
    <row r="476">
      <c r="A476" s="70"/>
      <c r="C476" s="2"/>
    </row>
    <row r="477">
      <c r="A477" s="70"/>
      <c r="C477" s="2"/>
    </row>
    <row r="478">
      <c r="A478" s="70"/>
      <c r="C478" s="2"/>
    </row>
    <row r="479">
      <c r="A479" s="70"/>
      <c r="C479" s="2"/>
    </row>
    <row r="480">
      <c r="A480" s="70"/>
      <c r="C480" s="2"/>
    </row>
    <row r="481">
      <c r="A481" s="70"/>
      <c r="C481" s="2"/>
    </row>
    <row r="482">
      <c r="A482" s="70"/>
      <c r="C482" s="2"/>
    </row>
    <row r="483">
      <c r="A483" s="70"/>
      <c r="C483" s="2"/>
    </row>
    <row r="484">
      <c r="A484" s="70"/>
      <c r="C484" s="2"/>
    </row>
    <row r="485">
      <c r="A485" s="70"/>
      <c r="C485" s="2"/>
    </row>
    <row r="486">
      <c r="A486" s="70"/>
      <c r="C486" s="2"/>
    </row>
    <row r="487">
      <c r="A487" s="70"/>
      <c r="C487" s="2"/>
    </row>
    <row r="488">
      <c r="A488" s="70"/>
      <c r="C488" s="2"/>
    </row>
    <row r="489">
      <c r="A489" s="70"/>
      <c r="C489" s="2"/>
    </row>
    <row r="490">
      <c r="A490" s="70"/>
      <c r="C490" s="2"/>
    </row>
    <row r="491">
      <c r="A491" s="70"/>
      <c r="C491" s="2"/>
    </row>
    <row r="492">
      <c r="A492" s="70"/>
      <c r="C492" s="2"/>
    </row>
    <row r="493">
      <c r="A493" s="70"/>
      <c r="C493" s="2"/>
    </row>
    <row r="494">
      <c r="A494" s="70"/>
      <c r="C494" s="2"/>
    </row>
    <row r="495">
      <c r="A495" s="70"/>
      <c r="C495" s="2"/>
    </row>
    <row r="496">
      <c r="A496" s="70"/>
      <c r="C496" s="2"/>
    </row>
    <row r="497">
      <c r="A497" s="70"/>
      <c r="C497" s="2"/>
    </row>
    <row r="498">
      <c r="A498" s="70"/>
      <c r="C498" s="2"/>
    </row>
    <row r="499">
      <c r="A499" s="70"/>
      <c r="C499" s="2"/>
    </row>
    <row r="500">
      <c r="A500" s="70"/>
      <c r="C500" s="2"/>
    </row>
    <row r="501">
      <c r="A501" s="70"/>
      <c r="C501" s="2"/>
    </row>
    <row r="502">
      <c r="A502" s="70"/>
      <c r="C502" s="2"/>
    </row>
    <row r="503">
      <c r="A503" s="70"/>
      <c r="C503" s="2"/>
    </row>
    <row r="504">
      <c r="A504" s="70"/>
      <c r="C504" s="2"/>
    </row>
    <row r="505">
      <c r="A505" s="70"/>
      <c r="C505" s="2"/>
    </row>
    <row r="506">
      <c r="A506" s="70"/>
      <c r="C506" s="2"/>
    </row>
    <row r="507">
      <c r="A507" s="70"/>
      <c r="C507" s="2"/>
    </row>
    <row r="508">
      <c r="A508" s="70"/>
      <c r="C508" s="2"/>
    </row>
    <row r="509">
      <c r="A509" s="70"/>
      <c r="C509" s="2"/>
    </row>
    <row r="510">
      <c r="A510" s="70"/>
      <c r="C510" s="2"/>
    </row>
    <row r="511">
      <c r="A511" s="70"/>
      <c r="C511" s="2"/>
    </row>
    <row r="512">
      <c r="A512" s="70"/>
      <c r="C512" s="2"/>
    </row>
    <row r="513">
      <c r="A513" s="70"/>
      <c r="C513" s="2"/>
    </row>
    <row r="514">
      <c r="A514" s="70"/>
      <c r="C514" s="2"/>
    </row>
    <row r="515">
      <c r="A515" s="70"/>
      <c r="C515" s="2"/>
    </row>
    <row r="516">
      <c r="A516" s="70"/>
      <c r="C516" s="2"/>
    </row>
    <row r="517">
      <c r="A517" s="70"/>
      <c r="C517" s="2"/>
    </row>
    <row r="518">
      <c r="A518" s="70"/>
      <c r="C518" s="2"/>
    </row>
    <row r="519">
      <c r="A519" s="70"/>
      <c r="C519" s="2"/>
    </row>
    <row r="520">
      <c r="A520" s="70"/>
      <c r="C520" s="2"/>
    </row>
    <row r="521">
      <c r="A521" s="70"/>
      <c r="C521" s="2"/>
    </row>
    <row r="522">
      <c r="A522" s="70"/>
      <c r="C522" s="2"/>
    </row>
    <row r="523">
      <c r="A523" s="70"/>
      <c r="C523" s="2"/>
    </row>
    <row r="524">
      <c r="A524" s="70"/>
      <c r="C524" s="2"/>
    </row>
    <row r="525">
      <c r="A525" s="70"/>
      <c r="C525" s="2"/>
    </row>
    <row r="526">
      <c r="A526" s="70"/>
      <c r="C526" s="2"/>
    </row>
    <row r="527">
      <c r="A527" s="70"/>
      <c r="C527" s="2"/>
    </row>
    <row r="528">
      <c r="A528" s="70"/>
      <c r="C528" s="2"/>
    </row>
    <row r="529">
      <c r="A529" s="70"/>
      <c r="C529" s="2"/>
    </row>
    <row r="530">
      <c r="A530" s="70"/>
      <c r="C530" s="2"/>
    </row>
    <row r="531">
      <c r="A531" s="70"/>
      <c r="C531" s="2"/>
    </row>
    <row r="532">
      <c r="A532" s="70"/>
      <c r="C532" s="2"/>
    </row>
    <row r="533">
      <c r="A533" s="70"/>
      <c r="C533" s="2"/>
    </row>
    <row r="534">
      <c r="A534" s="70"/>
      <c r="C534" s="2"/>
    </row>
    <row r="535">
      <c r="A535" s="70"/>
      <c r="C535" s="2"/>
    </row>
    <row r="536">
      <c r="A536" s="70"/>
      <c r="C536" s="2"/>
    </row>
    <row r="537">
      <c r="A537" s="70"/>
      <c r="C537" s="2"/>
    </row>
    <row r="538">
      <c r="A538" s="70"/>
      <c r="C538" s="2"/>
    </row>
    <row r="539">
      <c r="A539" s="70"/>
      <c r="C539" s="2"/>
    </row>
    <row r="540">
      <c r="A540" s="70"/>
      <c r="C540" s="2"/>
    </row>
    <row r="541">
      <c r="A541" s="70"/>
      <c r="C541" s="2"/>
    </row>
    <row r="542">
      <c r="A542" s="70"/>
      <c r="C542" s="2"/>
    </row>
    <row r="543">
      <c r="A543" s="70"/>
      <c r="C543" s="2"/>
    </row>
    <row r="544">
      <c r="A544" s="70"/>
      <c r="C544" s="2"/>
    </row>
    <row r="545">
      <c r="A545" s="70"/>
      <c r="C545" s="2"/>
    </row>
    <row r="546">
      <c r="A546" s="70"/>
      <c r="C546" s="2"/>
    </row>
    <row r="547">
      <c r="A547" s="70"/>
      <c r="C547" s="2"/>
    </row>
    <row r="548">
      <c r="A548" s="70"/>
      <c r="C548" s="2"/>
    </row>
    <row r="549">
      <c r="A549" s="70"/>
      <c r="C549" s="2"/>
    </row>
    <row r="550">
      <c r="A550" s="70"/>
      <c r="C550" s="2"/>
    </row>
    <row r="551">
      <c r="A551" s="70"/>
      <c r="C551" s="2"/>
    </row>
    <row r="552">
      <c r="A552" s="70"/>
      <c r="C552" s="2"/>
    </row>
    <row r="553">
      <c r="A553" s="70"/>
      <c r="C553" s="2"/>
    </row>
    <row r="554">
      <c r="A554" s="70"/>
      <c r="C554" s="2"/>
    </row>
    <row r="555">
      <c r="A555" s="70"/>
      <c r="C555" s="2"/>
    </row>
    <row r="556">
      <c r="A556" s="70"/>
      <c r="C556" s="2"/>
    </row>
    <row r="557">
      <c r="A557" s="70"/>
      <c r="C557" s="2"/>
    </row>
    <row r="558">
      <c r="A558" s="70"/>
      <c r="C558" s="2"/>
    </row>
    <row r="559">
      <c r="A559" s="70"/>
      <c r="C559" s="2"/>
    </row>
    <row r="560">
      <c r="A560" s="70"/>
      <c r="C560" s="2"/>
    </row>
    <row r="561">
      <c r="A561" s="70"/>
      <c r="C561" s="2"/>
    </row>
    <row r="562">
      <c r="A562" s="70"/>
      <c r="C562" s="2"/>
    </row>
    <row r="563">
      <c r="A563" s="70"/>
      <c r="C563" s="2"/>
    </row>
    <row r="564">
      <c r="A564" s="70"/>
      <c r="C564" s="2"/>
    </row>
    <row r="565">
      <c r="A565" s="70"/>
      <c r="C565" s="2"/>
    </row>
    <row r="566">
      <c r="A566" s="70"/>
      <c r="C566" s="2"/>
    </row>
    <row r="567">
      <c r="A567" s="70"/>
      <c r="C567" s="2"/>
    </row>
    <row r="568">
      <c r="A568" s="70"/>
      <c r="C568" s="2"/>
    </row>
    <row r="569">
      <c r="A569" s="70"/>
      <c r="C569" s="2"/>
    </row>
    <row r="570">
      <c r="A570" s="70"/>
      <c r="C570" s="2"/>
    </row>
    <row r="571">
      <c r="A571" s="70"/>
      <c r="C571" s="2"/>
    </row>
    <row r="572">
      <c r="A572" s="70"/>
      <c r="C572" s="2"/>
    </row>
    <row r="573">
      <c r="A573" s="70"/>
      <c r="C573" s="2"/>
    </row>
    <row r="574">
      <c r="A574" s="70"/>
      <c r="C574" s="2"/>
    </row>
    <row r="575">
      <c r="A575" s="70"/>
      <c r="C575" s="2"/>
    </row>
    <row r="576">
      <c r="A576" s="70"/>
      <c r="C576" s="2"/>
    </row>
    <row r="577">
      <c r="A577" s="70"/>
      <c r="C577" s="2"/>
    </row>
    <row r="578">
      <c r="A578" s="70"/>
      <c r="C578" s="2"/>
    </row>
    <row r="579">
      <c r="A579" s="70"/>
      <c r="C579" s="2"/>
    </row>
    <row r="580">
      <c r="A580" s="70"/>
      <c r="C580" s="2"/>
    </row>
    <row r="581">
      <c r="A581" s="70"/>
      <c r="C581" s="2"/>
    </row>
    <row r="582">
      <c r="A582" s="70"/>
      <c r="C582" s="2"/>
    </row>
    <row r="583">
      <c r="A583" s="70"/>
      <c r="C583" s="2"/>
    </row>
    <row r="584">
      <c r="A584" s="70"/>
      <c r="C584" s="2"/>
    </row>
    <row r="585">
      <c r="A585" s="70"/>
      <c r="C585" s="2"/>
    </row>
    <row r="586">
      <c r="A586" s="70"/>
      <c r="C586" s="2"/>
    </row>
    <row r="587">
      <c r="A587" s="70"/>
      <c r="C587" s="2"/>
    </row>
    <row r="588">
      <c r="A588" s="70"/>
      <c r="C588" s="2"/>
    </row>
    <row r="589">
      <c r="A589" s="70"/>
      <c r="C589" s="2"/>
    </row>
    <row r="590">
      <c r="A590" s="70"/>
      <c r="C590" s="2"/>
    </row>
    <row r="591">
      <c r="A591" s="70"/>
      <c r="C591" s="2"/>
    </row>
    <row r="592">
      <c r="A592" s="70"/>
      <c r="C592" s="2"/>
    </row>
    <row r="593">
      <c r="A593" s="70"/>
      <c r="C593" s="2"/>
    </row>
    <row r="594">
      <c r="A594" s="70"/>
      <c r="C594" s="2"/>
    </row>
    <row r="595">
      <c r="A595" s="70"/>
      <c r="C595" s="2"/>
    </row>
    <row r="596">
      <c r="A596" s="70"/>
      <c r="C596" s="2"/>
    </row>
    <row r="597">
      <c r="A597" s="70"/>
      <c r="C597" s="2"/>
    </row>
    <row r="598">
      <c r="A598" s="70"/>
      <c r="C598" s="2"/>
    </row>
    <row r="599">
      <c r="A599" s="70"/>
      <c r="C599" s="2"/>
    </row>
    <row r="600">
      <c r="A600" s="70"/>
      <c r="C600" s="2"/>
    </row>
    <row r="601">
      <c r="A601" s="70"/>
      <c r="C601" s="2"/>
    </row>
    <row r="602">
      <c r="A602" s="70"/>
      <c r="C602" s="2"/>
    </row>
    <row r="603">
      <c r="A603" s="70"/>
      <c r="C603" s="2"/>
    </row>
    <row r="604">
      <c r="A604" s="70"/>
      <c r="C604" s="2"/>
    </row>
    <row r="605">
      <c r="A605" s="70"/>
      <c r="C605" s="2"/>
    </row>
    <row r="606">
      <c r="A606" s="70"/>
      <c r="C606" s="2"/>
    </row>
    <row r="607">
      <c r="A607" s="70"/>
      <c r="C607" s="2"/>
    </row>
    <row r="608">
      <c r="A608" s="70"/>
      <c r="C608" s="2"/>
    </row>
    <row r="609">
      <c r="A609" s="70"/>
      <c r="C609" s="2"/>
    </row>
    <row r="610">
      <c r="A610" s="70"/>
      <c r="C610" s="2"/>
    </row>
    <row r="611">
      <c r="A611" s="70"/>
      <c r="C611" s="2"/>
    </row>
    <row r="612">
      <c r="A612" s="70"/>
      <c r="C612" s="2"/>
    </row>
    <row r="613">
      <c r="A613" s="70"/>
      <c r="C613" s="2"/>
    </row>
    <row r="614">
      <c r="A614" s="70"/>
      <c r="C614" s="2"/>
    </row>
    <row r="615">
      <c r="A615" s="70"/>
      <c r="C615" s="2"/>
    </row>
    <row r="616">
      <c r="A616" s="70"/>
      <c r="C616" s="2"/>
    </row>
    <row r="617">
      <c r="A617" s="70"/>
      <c r="C617" s="2"/>
    </row>
    <row r="618">
      <c r="A618" s="70"/>
      <c r="C618" s="2"/>
    </row>
    <row r="619">
      <c r="A619" s="70"/>
      <c r="C619" s="2"/>
    </row>
    <row r="620">
      <c r="A620" s="70"/>
      <c r="C620" s="2"/>
    </row>
    <row r="621">
      <c r="A621" s="70"/>
      <c r="C621" s="2"/>
    </row>
    <row r="622">
      <c r="A622" s="70"/>
      <c r="C622" s="2"/>
    </row>
    <row r="623">
      <c r="A623" s="70"/>
      <c r="C623" s="2"/>
    </row>
    <row r="624">
      <c r="A624" s="70"/>
      <c r="C624" s="2"/>
    </row>
    <row r="625">
      <c r="A625" s="70"/>
      <c r="C625" s="2"/>
    </row>
    <row r="626">
      <c r="A626" s="70"/>
      <c r="C626" s="2"/>
    </row>
    <row r="627">
      <c r="A627" s="70"/>
      <c r="C627" s="2"/>
    </row>
    <row r="628">
      <c r="A628" s="70"/>
      <c r="C628" s="2"/>
    </row>
    <row r="629">
      <c r="A629" s="70"/>
      <c r="C629" s="2"/>
    </row>
    <row r="630">
      <c r="A630" s="70"/>
      <c r="C630" s="2"/>
    </row>
    <row r="631">
      <c r="A631" s="70"/>
      <c r="C631" s="2"/>
    </row>
    <row r="632">
      <c r="A632" s="70"/>
      <c r="C632" s="2"/>
    </row>
    <row r="633">
      <c r="A633" s="70"/>
      <c r="C633" s="2"/>
    </row>
    <row r="634">
      <c r="A634" s="70"/>
      <c r="C634" s="2"/>
    </row>
    <row r="635">
      <c r="A635" s="70"/>
      <c r="C635" s="2"/>
    </row>
    <row r="636">
      <c r="A636" s="70"/>
      <c r="C636" s="2"/>
    </row>
    <row r="637">
      <c r="A637" s="70"/>
      <c r="C637" s="2"/>
    </row>
    <row r="638">
      <c r="A638" s="70"/>
      <c r="C638" s="2"/>
    </row>
    <row r="639">
      <c r="A639" s="70"/>
      <c r="C639" s="2"/>
    </row>
    <row r="640">
      <c r="A640" s="70"/>
      <c r="C640" s="2"/>
    </row>
    <row r="641">
      <c r="A641" s="70"/>
      <c r="C641" s="2"/>
    </row>
    <row r="642">
      <c r="A642" s="70"/>
      <c r="C642" s="2"/>
    </row>
    <row r="643">
      <c r="A643" s="70"/>
      <c r="C643" s="2"/>
    </row>
    <row r="644">
      <c r="A644" s="70"/>
      <c r="C644" s="2"/>
    </row>
    <row r="645">
      <c r="A645" s="70"/>
      <c r="C645" s="2"/>
    </row>
    <row r="646">
      <c r="A646" s="70"/>
      <c r="C646" s="2"/>
    </row>
    <row r="647">
      <c r="A647" s="70"/>
      <c r="C647" s="2"/>
    </row>
    <row r="648">
      <c r="A648" s="70"/>
      <c r="C648" s="2"/>
    </row>
    <row r="649">
      <c r="A649" s="70"/>
      <c r="C649" s="2"/>
    </row>
    <row r="650">
      <c r="A650" s="70"/>
      <c r="C650" s="2"/>
    </row>
    <row r="651">
      <c r="A651" s="70"/>
      <c r="C651" s="2"/>
    </row>
    <row r="652">
      <c r="A652" s="70"/>
      <c r="C652" s="2"/>
    </row>
    <row r="653">
      <c r="A653" s="70"/>
      <c r="C653" s="2"/>
    </row>
    <row r="654">
      <c r="A654" s="70"/>
      <c r="C654" s="2"/>
    </row>
    <row r="655">
      <c r="A655" s="70"/>
      <c r="C655" s="2"/>
    </row>
    <row r="656">
      <c r="A656" s="70"/>
      <c r="C656" s="2"/>
    </row>
    <row r="657">
      <c r="A657" s="70"/>
      <c r="C657" s="2"/>
    </row>
    <row r="658">
      <c r="A658" s="70"/>
      <c r="C658" s="2"/>
    </row>
    <row r="659">
      <c r="A659" s="70"/>
      <c r="C659" s="2"/>
    </row>
    <row r="660">
      <c r="A660" s="70"/>
      <c r="C660" s="2"/>
    </row>
    <row r="661">
      <c r="A661" s="70"/>
      <c r="C661" s="2"/>
    </row>
    <row r="662">
      <c r="A662" s="70"/>
      <c r="C662" s="2"/>
    </row>
    <row r="663">
      <c r="A663" s="70"/>
      <c r="C663" s="2"/>
    </row>
    <row r="664">
      <c r="A664" s="70"/>
      <c r="C664" s="2"/>
    </row>
    <row r="665">
      <c r="A665" s="70"/>
      <c r="C665" s="2"/>
    </row>
    <row r="666">
      <c r="A666" s="70"/>
      <c r="C666" s="2"/>
    </row>
    <row r="667">
      <c r="A667" s="70"/>
      <c r="C667" s="2"/>
    </row>
    <row r="668">
      <c r="A668" s="70"/>
      <c r="C668" s="2"/>
    </row>
    <row r="669">
      <c r="A669" s="70"/>
      <c r="C669" s="2"/>
    </row>
    <row r="670">
      <c r="A670" s="70"/>
      <c r="C670" s="2"/>
    </row>
    <row r="671">
      <c r="A671" s="70"/>
      <c r="C671" s="2"/>
    </row>
    <row r="672">
      <c r="A672" s="70"/>
      <c r="C672" s="2"/>
    </row>
    <row r="673">
      <c r="A673" s="70"/>
      <c r="C673" s="2"/>
    </row>
    <row r="674">
      <c r="A674" s="70"/>
      <c r="C674" s="2"/>
    </row>
    <row r="675">
      <c r="A675" s="70"/>
      <c r="C675" s="2"/>
    </row>
    <row r="676">
      <c r="A676" s="70"/>
      <c r="C676" s="2"/>
    </row>
    <row r="677">
      <c r="A677" s="70"/>
      <c r="C677" s="2"/>
    </row>
    <row r="678">
      <c r="A678" s="70"/>
      <c r="C678" s="2"/>
    </row>
    <row r="679">
      <c r="A679" s="70"/>
      <c r="C679" s="2"/>
    </row>
    <row r="680">
      <c r="A680" s="70"/>
      <c r="C680" s="2"/>
    </row>
    <row r="681">
      <c r="A681" s="70"/>
      <c r="C681" s="2"/>
    </row>
    <row r="682">
      <c r="A682" s="70"/>
      <c r="C682" s="2"/>
    </row>
    <row r="683">
      <c r="A683" s="70"/>
      <c r="C683" s="2"/>
    </row>
    <row r="684">
      <c r="A684" s="70"/>
      <c r="C684" s="2"/>
    </row>
    <row r="685">
      <c r="A685" s="70"/>
      <c r="C685" s="2"/>
    </row>
    <row r="686">
      <c r="A686" s="70"/>
      <c r="C686" s="2"/>
    </row>
    <row r="687">
      <c r="A687" s="70"/>
      <c r="C687" s="2"/>
    </row>
    <row r="688">
      <c r="A688" s="70"/>
      <c r="C688" s="2"/>
    </row>
    <row r="689">
      <c r="A689" s="70"/>
      <c r="C689" s="2"/>
    </row>
    <row r="690">
      <c r="A690" s="70"/>
      <c r="C690" s="2"/>
    </row>
    <row r="691">
      <c r="A691" s="70"/>
      <c r="C691" s="2"/>
    </row>
    <row r="692">
      <c r="A692" s="70"/>
      <c r="C692" s="2"/>
    </row>
    <row r="693">
      <c r="A693" s="70"/>
      <c r="C693" s="2"/>
    </row>
    <row r="694">
      <c r="A694" s="70"/>
      <c r="C694" s="2"/>
    </row>
    <row r="695">
      <c r="A695" s="70"/>
      <c r="C695" s="2"/>
    </row>
    <row r="696">
      <c r="A696" s="70"/>
      <c r="C696" s="2"/>
    </row>
    <row r="697">
      <c r="A697" s="70"/>
      <c r="C697" s="2"/>
    </row>
    <row r="698">
      <c r="A698" s="70"/>
      <c r="C698" s="2"/>
    </row>
    <row r="699">
      <c r="A699" s="70"/>
      <c r="C699" s="2"/>
    </row>
    <row r="700">
      <c r="A700" s="70"/>
      <c r="C700" s="2"/>
    </row>
    <row r="701">
      <c r="A701" s="70"/>
      <c r="C701" s="2"/>
    </row>
    <row r="702">
      <c r="A702" s="70"/>
      <c r="C702" s="2"/>
    </row>
    <row r="703">
      <c r="A703" s="70"/>
      <c r="C703" s="2"/>
    </row>
    <row r="704">
      <c r="A704" s="70"/>
      <c r="C704" s="2"/>
    </row>
    <row r="705">
      <c r="A705" s="70"/>
      <c r="C705" s="2"/>
    </row>
    <row r="706">
      <c r="A706" s="70"/>
      <c r="C706" s="2"/>
    </row>
    <row r="707">
      <c r="A707" s="70"/>
      <c r="C707" s="2"/>
    </row>
    <row r="708">
      <c r="A708" s="70"/>
      <c r="C708" s="2"/>
    </row>
    <row r="709">
      <c r="A709" s="70"/>
      <c r="C709" s="2"/>
    </row>
    <row r="710">
      <c r="A710" s="70"/>
      <c r="C710" s="2"/>
    </row>
    <row r="711">
      <c r="A711" s="70"/>
      <c r="C711" s="2"/>
    </row>
    <row r="712">
      <c r="A712" s="70"/>
      <c r="C712" s="2"/>
    </row>
    <row r="713">
      <c r="A713" s="70"/>
      <c r="C713" s="2"/>
    </row>
    <row r="714">
      <c r="A714" s="70"/>
      <c r="C714" s="2"/>
    </row>
    <row r="715">
      <c r="A715" s="70"/>
      <c r="C715" s="2"/>
    </row>
    <row r="716">
      <c r="A716" s="70"/>
      <c r="C716" s="2"/>
    </row>
    <row r="717">
      <c r="A717" s="70"/>
      <c r="C717" s="2"/>
    </row>
    <row r="718">
      <c r="A718" s="70"/>
      <c r="C718" s="2"/>
    </row>
    <row r="719">
      <c r="A719" s="70"/>
      <c r="C719" s="2"/>
    </row>
    <row r="720">
      <c r="A720" s="70"/>
      <c r="C720" s="2"/>
    </row>
    <row r="721">
      <c r="A721" s="70"/>
      <c r="C721" s="2"/>
    </row>
    <row r="722">
      <c r="A722" s="70"/>
      <c r="C722" s="2"/>
    </row>
    <row r="723">
      <c r="A723" s="70"/>
      <c r="C723" s="2"/>
    </row>
    <row r="724">
      <c r="A724" s="70"/>
      <c r="C724" s="2"/>
    </row>
    <row r="725">
      <c r="A725" s="70"/>
      <c r="C725" s="2"/>
    </row>
    <row r="726">
      <c r="A726" s="70"/>
      <c r="C726" s="2"/>
    </row>
    <row r="727">
      <c r="A727" s="70"/>
      <c r="C727" s="2"/>
    </row>
    <row r="728">
      <c r="A728" s="70"/>
      <c r="C728" s="2"/>
    </row>
    <row r="729">
      <c r="A729" s="70"/>
      <c r="C729" s="2"/>
    </row>
    <row r="730">
      <c r="A730" s="70"/>
      <c r="C730" s="2"/>
    </row>
    <row r="731">
      <c r="A731" s="70"/>
      <c r="C731" s="2"/>
    </row>
    <row r="732">
      <c r="A732" s="70"/>
      <c r="C732" s="2"/>
    </row>
    <row r="733">
      <c r="A733" s="70"/>
      <c r="C733" s="2"/>
    </row>
    <row r="734">
      <c r="A734" s="70"/>
      <c r="C734" s="2"/>
    </row>
    <row r="735">
      <c r="A735" s="70"/>
      <c r="C735" s="2"/>
    </row>
    <row r="736">
      <c r="A736" s="70"/>
      <c r="C736" s="2"/>
    </row>
    <row r="737">
      <c r="A737" s="70"/>
      <c r="C737" s="2"/>
    </row>
    <row r="738">
      <c r="A738" s="70"/>
      <c r="C738" s="2"/>
    </row>
    <row r="739">
      <c r="A739" s="70"/>
      <c r="C739" s="2"/>
    </row>
    <row r="740">
      <c r="A740" s="70"/>
      <c r="C740" s="2"/>
    </row>
    <row r="741">
      <c r="A741" s="70"/>
      <c r="C741" s="2"/>
    </row>
    <row r="742">
      <c r="A742" s="70"/>
      <c r="C742" s="2"/>
    </row>
    <row r="743">
      <c r="A743" s="70"/>
      <c r="C743" s="2"/>
    </row>
    <row r="744">
      <c r="A744" s="70"/>
      <c r="C744" s="2"/>
    </row>
    <row r="745">
      <c r="A745" s="70"/>
      <c r="C745" s="2"/>
    </row>
    <row r="746">
      <c r="A746" s="70"/>
      <c r="C746" s="2"/>
    </row>
    <row r="747">
      <c r="A747" s="70"/>
      <c r="C747" s="2"/>
    </row>
    <row r="748">
      <c r="A748" s="70"/>
      <c r="C748" s="2"/>
    </row>
    <row r="749">
      <c r="A749" s="70"/>
      <c r="C749" s="2"/>
    </row>
    <row r="750">
      <c r="A750" s="70"/>
      <c r="C750" s="2"/>
    </row>
    <row r="751">
      <c r="A751" s="70"/>
      <c r="C751" s="2"/>
    </row>
    <row r="752">
      <c r="A752" s="70"/>
      <c r="C752" s="2"/>
    </row>
    <row r="753">
      <c r="A753" s="70"/>
      <c r="C753" s="2"/>
    </row>
    <row r="754">
      <c r="A754" s="70"/>
      <c r="C754" s="2"/>
    </row>
    <row r="755">
      <c r="A755" s="70"/>
      <c r="C755" s="2"/>
    </row>
    <row r="756">
      <c r="A756" s="70"/>
      <c r="C756" s="2"/>
    </row>
    <row r="757">
      <c r="A757" s="70"/>
      <c r="C757" s="2"/>
    </row>
    <row r="758">
      <c r="A758" s="70"/>
      <c r="C758" s="2"/>
    </row>
    <row r="759">
      <c r="A759" s="70"/>
      <c r="C759" s="2"/>
    </row>
    <row r="760">
      <c r="A760" s="70"/>
      <c r="C760" s="2"/>
    </row>
    <row r="761">
      <c r="A761" s="70"/>
      <c r="C761" s="2"/>
    </row>
    <row r="762">
      <c r="A762" s="70"/>
      <c r="C762" s="2"/>
    </row>
    <row r="763">
      <c r="A763" s="70"/>
      <c r="C763" s="2"/>
    </row>
    <row r="764">
      <c r="A764" s="70"/>
      <c r="C764" s="2"/>
    </row>
    <row r="765">
      <c r="A765" s="70"/>
      <c r="C765" s="2"/>
    </row>
    <row r="766">
      <c r="A766" s="70"/>
      <c r="C766" s="2"/>
    </row>
    <row r="767">
      <c r="A767" s="70"/>
      <c r="C767" s="2"/>
    </row>
    <row r="768">
      <c r="A768" s="70"/>
      <c r="C768" s="2"/>
    </row>
    <row r="769">
      <c r="A769" s="70"/>
      <c r="C769" s="2"/>
    </row>
    <row r="770">
      <c r="A770" s="70"/>
      <c r="C770" s="2"/>
    </row>
    <row r="771">
      <c r="A771" s="70"/>
      <c r="C771" s="2"/>
    </row>
    <row r="772">
      <c r="A772" s="70"/>
      <c r="C772" s="2"/>
    </row>
    <row r="773">
      <c r="A773" s="70"/>
      <c r="C773" s="2"/>
    </row>
    <row r="774">
      <c r="A774" s="70"/>
      <c r="C774" s="2"/>
    </row>
    <row r="775">
      <c r="A775" s="70"/>
      <c r="C775" s="2"/>
    </row>
    <row r="776">
      <c r="A776" s="70"/>
      <c r="C776" s="2"/>
    </row>
    <row r="777">
      <c r="A777" s="70"/>
      <c r="C777" s="2"/>
    </row>
    <row r="778">
      <c r="A778" s="70"/>
      <c r="C778" s="2"/>
    </row>
    <row r="779">
      <c r="A779" s="70"/>
      <c r="C779" s="2"/>
    </row>
    <row r="780">
      <c r="A780" s="70"/>
      <c r="C780" s="2"/>
    </row>
    <row r="781">
      <c r="A781" s="70"/>
      <c r="C781" s="2"/>
    </row>
    <row r="782">
      <c r="A782" s="70"/>
      <c r="C782" s="2"/>
    </row>
    <row r="783">
      <c r="A783" s="70"/>
      <c r="C783" s="2"/>
    </row>
    <row r="784">
      <c r="A784" s="70"/>
      <c r="C784" s="2"/>
    </row>
    <row r="785">
      <c r="A785" s="70"/>
      <c r="C785" s="2"/>
    </row>
    <row r="786">
      <c r="A786" s="70"/>
      <c r="C786" s="2"/>
    </row>
    <row r="787">
      <c r="A787" s="70"/>
      <c r="C787" s="2"/>
    </row>
    <row r="788">
      <c r="A788" s="70"/>
      <c r="C788" s="2"/>
    </row>
    <row r="789">
      <c r="A789" s="70"/>
      <c r="C789" s="2"/>
    </row>
    <row r="790">
      <c r="A790" s="70"/>
      <c r="C790" s="2"/>
    </row>
    <row r="791">
      <c r="A791" s="70"/>
      <c r="C791" s="2"/>
    </row>
    <row r="792">
      <c r="A792" s="70"/>
      <c r="C792" s="2"/>
    </row>
    <row r="793">
      <c r="A793" s="70"/>
      <c r="C793" s="2"/>
    </row>
    <row r="794">
      <c r="A794" s="70"/>
      <c r="C794" s="2"/>
    </row>
    <row r="795">
      <c r="A795" s="70"/>
      <c r="C795" s="2"/>
    </row>
    <row r="796">
      <c r="A796" s="70"/>
      <c r="C796" s="2"/>
    </row>
    <row r="797">
      <c r="A797" s="70"/>
      <c r="C797" s="2"/>
    </row>
    <row r="798">
      <c r="A798" s="70"/>
      <c r="C798" s="2"/>
    </row>
    <row r="799">
      <c r="A799" s="70"/>
      <c r="C799" s="2"/>
    </row>
    <row r="800">
      <c r="A800" s="70"/>
      <c r="C800" s="2"/>
    </row>
    <row r="801">
      <c r="A801" s="70"/>
      <c r="C801" s="2"/>
    </row>
    <row r="802">
      <c r="A802" s="70"/>
      <c r="C802" s="2"/>
    </row>
    <row r="803">
      <c r="A803" s="70"/>
      <c r="C803" s="2"/>
    </row>
    <row r="804">
      <c r="A804" s="70"/>
      <c r="C804" s="2"/>
    </row>
    <row r="805">
      <c r="A805" s="70"/>
      <c r="C805" s="2"/>
    </row>
    <row r="806">
      <c r="A806" s="70"/>
      <c r="C806" s="2"/>
    </row>
    <row r="807">
      <c r="A807" s="70"/>
      <c r="C807" s="2"/>
    </row>
    <row r="808">
      <c r="A808" s="70"/>
      <c r="C808" s="2"/>
    </row>
    <row r="809">
      <c r="A809" s="70"/>
      <c r="C809" s="2"/>
    </row>
    <row r="810">
      <c r="A810" s="70"/>
      <c r="C810" s="2"/>
    </row>
    <row r="811">
      <c r="A811" s="70"/>
      <c r="C811" s="2"/>
    </row>
    <row r="812">
      <c r="A812" s="70"/>
      <c r="C812" s="2"/>
    </row>
    <row r="813">
      <c r="A813" s="70"/>
      <c r="C813" s="2"/>
    </row>
    <row r="814">
      <c r="A814" s="70"/>
      <c r="C814" s="2"/>
    </row>
    <row r="815">
      <c r="A815" s="70"/>
      <c r="C815" s="2"/>
    </row>
    <row r="816">
      <c r="A816" s="70"/>
      <c r="C816" s="2"/>
    </row>
    <row r="817">
      <c r="A817" s="70"/>
      <c r="C817" s="2"/>
    </row>
    <row r="818">
      <c r="A818" s="70"/>
      <c r="C818" s="2"/>
    </row>
    <row r="819">
      <c r="A819" s="70"/>
      <c r="C819" s="2"/>
    </row>
    <row r="820">
      <c r="A820" s="70"/>
      <c r="C820" s="2"/>
    </row>
    <row r="821">
      <c r="A821" s="70"/>
      <c r="C821" s="2"/>
    </row>
    <row r="822">
      <c r="A822" s="70"/>
      <c r="C822" s="2"/>
    </row>
    <row r="823">
      <c r="A823" s="70"/>
      <c r="C823" s="2"/>
    </row>
    <row r="824">
      <c r="A824" s="70"/>
      <c r="C824" s="2"/>
    </row>
    <row r="825">
      <c r="A825" s="70"/>
      <c r="C825" s="2"/>
    </row>
    <row r="826">
      <c r="A826" s="70"/>
      <c r="C826" s="2"/>
    </row>
    <row r="827">
      <c r="A827" s="70"/>
      <c r="C827" s="2"/>
    </row>
    <row r="828">
      <c r="A828" s="70"/>
      <c r="C828" s="2"/>
    </row>
    <row r="829">
      <c r="A829" s="70"/>
      <c r="C829" s="2"/>
    </row>
    <row r="830">
      <c r="A830" s="70"/>
      <c r="C830" s="2"/>
    </row>
    <row r="831">
      <c r="A831" s="70"/>
      <c r="C831" s="2"/>
    </row>
    <row r="832">
      <c r="A832" s="70"/>
      <c r="C832" s="2"/>
    </row>
    <row r="833">
      <c r="A833" s="70"/>
      <c r="C833" s="2"/>
    </row>
    <row r="834">
      <c r="A834" s="70"/>
      <c r="C834" s="2"/>
    </row>
    <row r="835">
      <c r="A835" s="70"/>
      <c r="C835" s="2"/>
    </row>
    <row r="836">
      <c r="A836" s="70"/>
      <c r="C836" s="2"/>
    </row>
    <row r="837">
      <c r="A837" s="70"/>
      <c r="C837" s="2"/>
    </row>
    <row r="838">
      <c r="A838" s="70"/>
      <c r="C838" s="2"/>
    </row>
    <row r="839">
      <c r="A839" s="70"/>
      <c r="C839" s="2"/>
    </row>
    <row r="840">
      <c r="A840" s="70"/>
      <c r="C840" s="2"/>
    </row>
    <row r="841">
      <c r="A841" s="70"/>
      <c r="C841" s="2"/>
    </row>
    <row r="842">
      <c r="A842" s="70"/>
      <c r="C842" s="2"/>
    </row>
    <row r="843">
      <c r="A843" s="70"/>
      <c r="C843" s="2"/>
    </row>
    <row r="844">
      <c r="A844" s="70"/>
      <c r="C844" s="2"/>
    </row>
    <row r="845">
      <c r="A845" s="70"/>
      <c r="C845" s="2"/>
    </row>
    <row r="846">
      <c r="A846" s="70"/>
      <c r="C846" s="2"/>
    </row>
    <row r="847">
      <c r="A847" s="70"/>
      <c r="C847" s="2"/>
    </row>
    <row r="848">
      <c r="A848" s="70"/>
      <c r="C848" s="2"/>
    </row>
    <row r="849">
      <c r="A849" s="70"/>
      <c r="C849" s="2"/>
    </row>
    <row r="850">
      <c r="A850" s="70"/>
      <c r="C850" s="2"/>
    </row>
    <row r="851">
      <c r="A851" s="70"/>
      <c r="C851" s="2"/>
    </row>
    <row r="852">
      <c r="A852" s="70"/>
      <c r="C852" s="2"/>
    </row>
    <row r="853">
      <c r="A853" s="70"/>
      <c r="C853" s="2"/>
    </row>
    <row r="854">
      <c r="A854" s="70"/>
      <c r="C854" s="2"/>
    </row>
    <row r="855">
      <c r="A855" s="70"/>
      <c r="C855" s="2"/>
    </row>
    <row r="856">
      <c r="A856" s="70"/>
      <c r="C856" s="2"/>
    </row>
    <row r="857">
      <c r="A857" s="70"/>
      <c r="C857" s="2"/>
    </row>
    <row r="858">
      <c r="A858" s="70"/>
      <c r="C858" s="2"/>
    </row>
    <row r="859">
      <c r="A859" s="70"/>
      <c r="C859" s="2"/>
    </row>
    <row r="860">
      <c r="A860" s="70"/>
      <c r="C860" s="2"/>
    </row>
    <row r="861">
      <c r="A861" s="70"/>
      <c r="C861" s="2"/>
    </row>
    <row r="862">
      <c r="A862" s="70"/>
      <c r="C862" s="2"/>
    </row>
    <row r="863">
      <c r="A863" s="70"/>
      <c r="C863" s="2"/>
    </row>
    <row r="864">
      <c r="A864" s="70"/>
      <c r="C864" s="2"/>
    </row>
    <row r="865">
      <c r="A865" s="70"/>
      <c r="C865" s="2"/>
    </row>
    <row r="866">
      <c r="A866" s="70"/>
      <c r="C866" s="2"/>
    </row>
    <row r="867">
      <c r="A867" s="70"/>
      <c r="C867" s="2"/>
    </row>
    <row r="868">
      <c r="A868" s="70"/>
      <c r="C868" s="2"/>
    </row>
    <row r="869">
      <c r="A869" s="70"/>
      <c r="C869" s="2"/>
    </row>
    <row r="870">
      <c r="A870" s="70"/>
      <c r="C870" s="2"/>
    </row>
    <row r="871">
      <c r="A871" s="70"/>
      <c r="C871" s="2"/>
    </row>
    <row r="872">
      <c r="A872" s="70"/>
      <c r="C872" s="2"/>
    </row>
    <row r="873">
      <c r="A873" s="70"/>
      <c r="C873" s="2"/>
    </row>
    <row r="874">
      <c r="A874" s="70"/>
      <c r="C874" s="2"/>
    </row>
    <row r="875">
      <c r="A875" s="70"/>
      <c r="C875" s="2"/>
    </row>
    <row r="876">
      <c r="A876" s="70"/>
      <c r="C876" s="2"/>
    </row>
    <row r="877">
      <c r="A877" s="70"/>
      <c r="C877" s="2"/>
    </row>
    <row r="878">
      <c r="A878" s="70"/>
      <c r="C878" s="2"/>
    </row>
    <row r="879">
      <c r="A879" s="70"/>
      <c r="C879" s="2"/>
    </row>
    <row r="880">
      <c r="A880" s="70"/>
      <c r="C880" s="2"/>
    </row>
    <row r="881">
      <c r="A881" s="70"/>
      <c r="C881" s="2"/>
    </row>
    <row r="882">
      <c r="A882" s="70"/>
      <c r="C882" s="2"/>
    </row>
    <row r="883">
      <c r="A883" s="70"/>
      <c r="C883" s="2"/>
    </row>
    <row r="884">
      <c r="A884" s="70"/>
      <c r="C884" s="2"/>
    </row>
    <row r="885">
      <c r="A885" s="70"/>
      <c r="C885" s="2"/>
    </row>
    <row r="886">
      <c r="A886" s="70"/>
      <c r="C886" s="2"/>
    </row>
    <row r="887">
      <c r="A887" s="70"/>
      <c r="C887" s="2"/>
    </row>
    <row r="888">
      <c r="A888" s="70"/>
      <c r="C888" s="2"/>
    </row>
    <row r="889">
      <c r="A889" s="70"/>
      <c r="C889" s="2"/>
    </row>
    <row r="890">
      <c r="A890" s="70"/>
      <c r="C890" s="2"/>
    </row>
    <row r="891">
      <c r="A891" s="70"/>
      <c r="C891" s="2"/>
    </row>
    <row r="892">
      <c r="A892" s="70"/>
      <c r="C892" s="2"/>
    </row>
    <row r="893">
      <c r="A893" s="70"/>
      <c r="C893" s="2"/>
    </row>
    <row r="894">
      <c r="A894" s="70"/>
      <c r="C894" s="2"/>
    </row>
    <row r="895">
      <c r="A895" s="70"/>
      <c r="C895" s="2"/>
    </row>
    <row r="896">
      <c r="A896" s="70"/>
      <c r="C896" s="2"/>
    </row>
    <row r="897">
      <c r="A897" s="70"/>
      <c r="C897" s="2"/>
    </row>
    <row r="898">
      <c r="A898" s="70"/>
      <c r="C898" s="2"/>
    </row>
    <row r="899">
      <c r="A899" s="70"/>
      <c r="C899" s="2"/>
    </row>
    <row r="900">
      <c r="A900" s="70"/>
      <c r="C900" s="2"/>
    </row>
    <row r="901">
      <c r="A901" s="70"/>
      <c r="C901" s="2"/>
    </row>
    <row r="902">
      <c r="A902" s="70"/>
      <c r="C902" s="2"/>
    </row>
    <row r="903">
      <c r="A903" s="70"/>
      <c r="C903" s="2"/>
    </row>
    <row r="904">
      <c r="A904" s="70"/>
      <c r="C904" s="2"/>
    </row>
    <row r="905">
      <c r="A905" s="70"/>
      <c r="C905" s="2"/>
    </row>
    <row r="906">
      <c r="A906" s="70"/>
      <c r="C906" s="2"/>
    </row>
    <row r="907">
      <c r="A907" s="70"/>
      <c r="C907" s="2"/>
    </row>
    <row r="908">
      <c r="A908" s="70"/>
      <c r="C908" s="2"/>
    </row>
    <row r="909">
      <c r="A909" s="70"/>
      <c r="C909" s="2"/>
    </row>
    <row r="910">
      <c r="A910" s="70"/>
      <c r="C910" s="2"/>
    </row>
    <row r="911">
      <c r="A911" s="70"/>
      <c r="C911" s="2"/>
    </row>
    <row r="912">
      <c r="A912" s="70"/>
      <c r="C912" s="2"/>
    </row>
    <row r="913">
      <c r="A913" s="70"/>
      <c r="C913" s="2"/>
    </row>
    <row r="914">
      <c r="A914" s="70"/>
      <c r="C914" s="2"/>
    </row>
    <row r="915">
      <c r="A915" s="70"/>
      <c r="C915" s="2"/>
    </row>
    <row r="916">
      <c r="A916" s="70"/>
      <c r="C916" s="2"/>
    </row>
    <row r="917">
      <c r="A917" s="70"/>
      <c r="C917" s="2"/>
    </row>
    <row r="918">
      <c r="A918" s="70"/>
      <c r="C918" s="2"/>
    </row>
    <row r="919">
      <c r="A919" s="70"/>
      <c r="C919" s="2"/>
    </row>
    <row r="920">
      <c r="A920" s="70"/>
      <c r="C920" s="2"/>
    </row>
    <row r="921">
      <c r="A921" s="70"/>
      <c r="C921" s="2"/>
    </row>
    <row r="922">
      <c r="A922" s="70"/>
      <c r="C922" s="2"/>
    </row>
    <row r="923">
      <c r="A923" s="70"/>
      <c r="C923" s="2"/>
    </row>
    <row r="924">
      <c r="A924" s="70"/>
      <c r="C924" s="2"/>
    </row>
    <row r="925">
      <c r="A925" s="70"/>
      <c r="C925" s="2"/>
    </row>
    <row r="926">
      <c r="A926" s="70"/>
      <c r="C926" s="2"/>
    </row>
    <row r="927">
      <c r="A927" s="70"/>
      <c r="C927" s="2"/>
    </row>
    <row r="928">
      <c r="A928" s="70"/>
      <c r="C928" s="2"/>
    </row>
    <row r="929">
      <c r="A929" s="70"/>
      <c r="C929" s="2"/>
    </row>
    <row r="930">
      <c r="A930" s="70"/>
      <c r="C930" s="2"/>
    </row>
    <row r="931">
      <c r="A931" s="70"/>
      <c r="C931" s="2"/>
    </row>
    <row r="932">
      <c r="A932" s="70"/>
      <c r="C932" s="2"/>
    </row>
    <row r="933">
      <c r="A933" s="70"/>
      <c r="C933" s="2"/>
    </row>
    <row r="934">
      <c r="A934" s="70"/>
      <c r="C934" s="2"/>
    </row>
    <row r="935">
      <c r="A935" s="70"/>
      <c r="C935" s="2"/>
    </row>
    <row r="936">
      <c r="A936" s="70"/>
      <c r="C936" s="2"/>
    </row>
    <row r="937">
      <c r="A937" s="70"/>
      <c r="C937" s="2"/>
    </row>
    <row r="938">
      <c r="A938" s="70"/>
      <c r="C938" s="2"/>
    </row>
    <row r="939">
      <c r="A939" s="70"/>
      <c r="C939" s="2"/>
    </row>
    <row r="940">
      <c r="A940" s="70"/>
      <c r="C940" s="2"/>
    </row>
    <row r="941">
      <c r="A941" s="70"/>
      <c r="C941" s="2"/>
    </row>
    <row r="942">
      <c r="A942" s="70"/>
      <c r="C942" s="2"/>
    </row>
    <row r="943">
      <c r="A943" s="70"/>
      <c r="C943" s="2"/>
    </row>
    <row r="944">
      <c r="A944" s="70"/>
      <c r="C944" s="2"/>
    </row>
    <row r="945">
      <c r="A945" s="70"/>
      <c r="C945" s="2"/>
    </row>
    <row r="946">
      <c r="A946" s="70"/>
      <c r="C946" s="2"/>
    </row>
    <row r="947">
      <c r="A947" s="70"/>
      <c r="C947" s="2"/>
    </row>
    <row r="948">
      <c r="A948" s="70"/>
      <c r="C948" s="2"/>
    </row>
    <row r="949">
      <c r="A949" s="70"/>
      <c r="C949" s="2"/>
    </row>
    <row r="950">
      <c r="A950" s="70"/>
      <c r="C950" s="2"/>
    </row>
    <row r="951">
      <c r="A951" s="70"/>
      <c r="C951" s="2"/>
    </row>
    <row r="952">
      <c r="A952" s="70"/>
      <c r="C952" s="2"/>
    </row>
    <row r="953">
      <c r="A953" s="70"/>
      <c r="C953" s="2"/>
    </row>
    <row r="954">
      <c r="A954" s="70"/>
      <c r="C954" s="2"/>
    </row>
    <row r="955">
      <c r="A955" s="70"/>
      <c r="C955" s="2"/>
    </row>
    <row r="956">
      <c r="A956" s="70"/>
      <c r="C956" s="2"/>
    </row>
    <row r="957">
      <c r="A957" s="70"/>
      <c r="C957" s="2"/>
    </row>
    <row r="958">
      <c r="A958" s="70"/>
      <c r="C958" s="2"/>
    </row>
    <row r="959">
      <c r="A959" s="70"/>
      <c r="C959" s="2"/>
    </row>
    <row r="960">
      <c r="A960" s="70"/>
      <c r="C960" s="2"/>
    </row>
    <row r="961">
      <c r="A961" s="70"/>
      <c r="C961" s="2"/>
    </row>
    <row r="962">
      <c r="A962" s="70"/>
      <c r="C962" s="2"/>
    </row>
    <row r="963">
      <c r="A963" s="70"/>
      <c r="C963" s="2"/>
    </row>
    <row r="964">
      <c r="A964" s="70"/>
      <c r="C964" s="2"/>
    </row>
    <row r="965">
      <c r="A965" s="70"/>
      <c r="C965" s="2"/>
    </row>
    <row r="966">
      <c r="A966" s="70"/>
      <c r="C966" s="2"/>
    </row>
    <row r="967">
      <c r="A967" s="70"/>
      <c r="C967" s="2"/>
    </row>
    <row r="968">
      <c r="A968" s="70"/>
      <c r="C968" s="2"/>
    </row>
    <row r="969">
      <c r="A969" s="70"/>
      <c r="C969" s="2"/>
    </row>
    <row r="970">
      <c r="A970" s="70"/>
      <c r="C970" s="2"/>
    </row>
    <row r="971">
      <c r="A971" s="70"/>
      <c r="C971" s="2"/>
    </row>
    <row r="972">
      <c r="A972" s="70"/>
      <c r="C972" s="2"/>
    </row>
    <row r="973">
      <c r="A973" s="70"/>
      <c r="C973" s="2"/>
    </row>
    <row r="974">
      <c r="A974" s="70"/>
      <c r="C974" s="2"/>
    </row>
    <row r="975">
      <c r="A975" s="70"/>
      <c r="C975" s="2"/>
    </row>
    <row r="976">
      <c r="A976" s="70"/>
      <c r="C976" s="2"/>
    </row>
    <row r="977">
      <c r="A977" s="70"/>
      <c r="C977" s="2"/>
    </row>
    <row r="978">
      <c r="A978" s="70"/>
      <c r="C978" s="2"/>
    </row>
    <row r="979">
      <c r="A979" s="70"/>
      <c r="C979" s="2"/>
    </row>
    <row r="980">
      <c r="A980" s="70"/>
      <c r="C980" s="2"/>
    </row>
    <row r="981">
      <c r="A981" s="70"/>
      <c r="C981" s="2"/>
    </row>
    <row r="982">
      <c r="A982" s="70"/>
      <c r="C982" s="2"/>
    </row>
    <row r="983">
      <c r="A983" s="70"/>
      <c r="C983" s="2"/>
    </row>
    <row r="984">
      <c r="A984" s="70"/>
      <c r="C984" s="2"/>
    </row>
    <row r="985">
      <c r="A985" s="70"/>
      <c r="C985" s="2"/>
    </row>
    <row r="986">
      <c r="A986" s="70"/>
      <c r="C986" s="2"/>
    </row>
    <row r="987">
      <c r="A987" s="70"/>
      <c r="C987" s="2"/>
    </row>
    <row r="988">
      <c r="A988" s="70"/>
      <c r="C988" s="2"/>
    </row>
    <row r="989">
      <c r="A989" s="70"/>
      <c r="C989" s="2"/>
    </row>
    <row r="990">
      <c r="A990" s="70"/>
      <c r="C990" s="2"/>
    </row>
    <row r="991">
      <c r="A991" s="70"/>
      <c r="C991" s="2"/>
    </row>
    <row r="992">
      <c r="A992" s="70"/>
      <c r="C992" s="2"/>
    </row>
    <row r="993">
      <c r="A993" s="70"/>
      <c r="C993" s="2"/>
    </row>
    <row r="994">
      <c r="A994" s="70"/>
      <c r="C994" s="2"/>
    </row>
    <row r="995">
      <c r="A995" s="70"/>
      <c r="C995" s="2"/>
    </row>
    <row r="996">
      <c r="A996" s="70"/>
      <c r="C996" s="2"/>
    </row>
    <row r="997">
      <c r="A997" s="70"/>
      <c r="C997" s="2"/>
    </row>
    <row r="998">
      <c r="A998" s="70"/>
      <c r="C998" s="2"/>
    </row>
    <row r="999">
      <c r="A999" s="70"/>
      <c r="C999" s="2"/>
    </row>
    <row r="1000">
      <c r="A1000" s="70"/>
      <c r="C1000" s="2"/>
    </row>
    <row r="1001">
      <c r="A1001" s="70"/>
      <c r="C1001" s="2"/>
    </row>
    <row r="1002">
      <c r="A1002" s="70"/>
      <c r="C1002" s="2"/>
    </row>
    <row r="1003">
      <c r="A1003" s="70"/>
      <c r="C1003" s="2"/>
    </row>
    <row r="1004">
      <c r="A1004" s="70"/>
      <c r="C1004" s="2"/>
    </row>
    <row r="1005">
      <c r="A1005" s="70"/>
      <c r="C1005" s="2"/>
    </row>
    <row r="1006">
      <c r="A1006" s="70"/>
      <c r="C1006" s="2"/>
    </row>
  </sheetData>
  <printOptions gridLines="1" horizontalCentered="1"/>
  <pageMargins bottom="0.75" footer="0.0" header="0.0" left="0.7" right="0.7" top="0.75"/>
  <pageSetup cellComments="atEnd" orientation="portrait" pageOrder="overThenDown"/>
  <drawing r:id="rId4"/>
  <legacy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8.0"/>
    <col customWidth="1" min="4" max="4" width="24.13"/>
  </cols>
  <sheetData>
    <row r="1">
      <c r="A1" s="65" t="s">
        <v>60</v>
      </c>
      <c r="B1" s="22" t="s">
        <v>62</v>
      </c>
      <c r="C1" s="18" t="s">
        <v>48</v>
      </c>
      <c r="D1" s="9"/>
      <c r="E1" s="9"/>
      <c r="F1" s="9"/>
    </row>
    <row r="2">
      <c r="A2" s="65">
        <v>45237.0</v>
      </c>
      <c r="B2" s="5" t="s">
        <v>647</v>
      </c>
      <c r="C2" s="8">
        <v>110000.0</v>
      </c>
      <c r="D2" s="9"/>
      <c r="E2" s="66" t="s">
        <v>15</v>
      </c>
      <c r="F2" s="31">
        <f>sum(C2:C999)</f>
        <v>624823.01</v>
      </c>
    </row>
    <row r="3">
      <c r="A3" s="65">
        <v>45261.0</v>
      </c>
      <c r="B3" s="5" t="s">
        <v>647</v>
      </c>
      <c r="C3" s="8">
        <v>100000.0</v>
      </c>
      <c r="D3" s="9"/>
      <c r="E3" s="9"/>
      <c r="F3" s="9"/>
    </row>
    <row r="4">
      <c r="A4" s="80">
        <v>45301.0</v>
      </c>
      <c r="B4" s="5" t="s">
        <v>648</v>
      </c>
      <c r="C4" s="8">
        <v>374823.01</v>
      </c>
      <c r="D4" s="9"/>
      <c r="E4" s="9"/>
      <c r="F4" s="9"/>
    </row>
    <row r="5">
      <c r="A5" s="80">
        <v>45303.0</v>
      </c>
      <c r="B5" s="5" t="s">
        <v>649</v>
      </c>
      <c r="C5" s="8">
        <v>40000.0</v>
      </c>
      <c r="D5" s="9"/>
      <c r="E5" s="9"/>
      <c r="F5" s="9"/>
    </row>
    <row r="6">
      <c r="A6" s="81"/>
      <c r="B6" s="9"/>
      <c r="C6" s="7"/>
      <c r="D6" s="9"/>
      <c r="E6" s="9"/>
      <c r="F6" s="9"/>
    </row>
    <row r="7">
      <c r="A7" s="81"/>
      <c r="B7" s="9"/>
      <c r="C7" s="7"/>
      <c r="D7" s="9"/>
      <c r="E7" s="9"/>
      <c r="F7" s="9"/>
    </row>
    <row r="8">
      <c r="A8" s="82"/>
      <c r="C8" s="2"/>
      <c r="F8" s="9"/>
    </row>
    <row r="9">
      <c r="A9" s="82"/>
      <c r="C9" s="2"/>
    </row>
    <row r="10">
      <c r="A10" s="82"/>
      <c r="C10" s="2"/>
    </row>
    <row r="11">
      <c r="A11" s="82"/>
      <c r="C11" s="2"/>
    </row>
    <row r="12">
      <c r="A12" s="82"/>
      <c r="C12" s="2"/>
    </row>
    <row r="13">
      <c r="A13" s="82"/>
      <c r="C13" s="2"/>
    </row>
    <row r="14">
      <c r="A14" s="82"/>
      <c r="C14" s="2"/>
    </row>
    <row r="15">
      <c r="A15" s="82"/>
      <c r="C15" s="2"/>
    </row>
    <row r="16">
      <c r="A16" s="82"/>
      <c r="C16" s="2"/>
    </row>
    <row r="17">
      <c r="A17" s="82"/>
      <c r="C17" s="2"/>
    </row>
    <row r="18">
      <c r="A18" s="82"/>
      <c r="C18" s="2"/>
    </row>
    <row r="19">
      <c r="A19" s="82"/>
      <c r="C19" s="2"/>
    </row>
    <row r="20">
      <c r="A20" s="82"/>
      <c r="C20" s="2"/>
    </row>
    <row r="21">
      <c r="A21" s="82"/>
      <c r="C21" s="2"/>
      <c r="O21" s="4">
        <v>110000.0</v>
      </c>
    </row>
    <row r="22">
      <c r="A22" s="82"/>
      <c r="C22" s="2"/>
    </row>
    <row r="23">
      <c r="A23" s="82"/>
      <c r="C23" s="2"/>
    </row>
    <row r="24">
      <c r="A24" s="82"/>
      <c r="C24" s="2"/>
    </row>
    <row r="25">
      <c r="A25" s="82"/>
      <c r="C25" s="2"/>
    </row>
    <row r="26">
      <c r="A26" s="82"/>
      <c r="C26" s="2"/>
    </row>
    <row r="27">
      <c r="A27" s="82"/>
      <c r="C27" s="2"/>
    </row>
    <row r="28">
      <c r="A28" s="82"/>
      <c r="C28" s="2"/>
    </row>
    <row r="29">
      <c r="A29" s="82"/>
      <c r="C29" s="2"/>
    </row>
    <row r="30">
      <c r="A30" s="82"/>
      <c r="C30" s="2"/>
    </row>
    <row r="31">
      <c r="A31" s="82"/>
      <c r="C31" s="2"/>
    </row>
    <row r="32">
      <c r="A32" s="82"/>
      <c r="C32" s="2"/>
    </row>
    <row r="33">
      <c r="A33" s="82"/>
      <c r="C33" s="2"/>
    </row>
    <row r="34">
      <c r="A34" s="82"/>
      <c r="C34" s="2"/>
    </row>
    <row r="35">
      <c r="A35" s="82"/>
      <c r="C35" s="2"/>
    </row>
    <row r="36">
      <c r="A36" s="82"/>
      <c r="C36" s="2"/>
    </row>
    <row r="37">
      <c r="A37" s="82"/>
      <c r="C37" s="2"/>
    </row>
    <row r="38">
      <c r="A38" s="82"/>
      <c r="C38" s="2"/>
    </row>
    <row r="39">
      <c r="A39" s="82"/>
      <c r="C39" s="2"/>
    </row>
    <row r="40">
      <c r="A40" s="82"/>
      <c r="C40" s="2"/>
    </row>
    <row r="41">
      <c r="A41" s="82"/>
      <c r="C41" s="2"/>
    </row>
    <row r="42">
      <c r="A42" s="82"/>
      <c r="C42" s="2"/>
    </row>
    <row r="43">
      <c r="A43" s="82"/>
      <c r="C43" s="2"/>
    </row>
    <row r="44">
      <c r="A44" s="82"/>
      <c r="C44" s="2"/>
    </row>
    <row r="45">
      <c r="A45" s="82"/>
      <c r="C45" s="2"/>
    </row>
    <row r="46">
      <c r="A46" s="82"/>
      <c r="C46" s="2"/>
    </row>
    <row r="47">
      <c r="A47" s="82"/>
      <c r="C47" s="2"/>
    </row>
    <row r="48">
      <c r="A48" s="82"/>
      <c r="C48" s="2"/>
    </row>
    <row r="49">
      <c r="A49" s="82"/>
      <c r="C49" s="2"/>
    </row>
    <row r="50">
      <c r="A50" s="82"/>
      <c r="C50" s="2"/>
    </row>
    <row r="51">
      <c r="A51" s="82"/>
      <c r="C51" s="2"/>
    </row>
    <row r="52">
      <c r="A52" s="82"/>
      <c r="C52" s="2"/>
    </row>
    <row r="53">
      <c r="A53" s="82"/>
      <c r="C53" s="2"/>
    </row>
    <row r="54">
      <c r="A54" s="82"/>
      <c r="C54" s="2"/>
    </row>
    <row r="55">
      <c r="A55" s="82"/>
      <c r="C55" s="2"/>
    </row>
    <row r="56">
      <c r="A56" s="82"/>
      <c r="C56" s="2"/>
    </row>
    <row r="57">
      <c r="A57" s="82"/>
      <c r="C57" s="2"/>
    </row>
    <row r="58">
      <c r="A58" s="82"/>
      <c r="C58" s="2"/>
    </row>
    <row r="59">
      <c r="A59" s="82"/>
      <c r="C59" s="2"/>
    </row>
    <row r="60">
      <c r="A60" s="82"/>
      <c r="C60" s="2"/>
    </row>
    <row r="61">
      <c r="A61" s="82"/>
      <c r="C61" s="2"/>
    </row>
    <row r="62">
      <c r="A62" s="82"/>
      <c r="C62" s="2"/>
    </row>
    <row r="63">
      <c r="A63" s="82"/>
      <c r="C63" s="2"/>
    </row>
    <row r="64">
      <c r="A64" s="82"/>
      <c r="C64" s="2"/>
    </row>
    <row r="65">
      <c r="A65" s="82"/>
      <c r="C65" s="2"/>
    </row>
    <row r="66">
      <c r="A66" s="82"/>
      <c r="C66" s="2"/>
    </row>
    <row r="67">
      <c r="A67" s="82"/>
      <c r="C67" s="2"/>
    </row>
    <row r="68">
      <c r="A68" s="82"/>
      <c r="C68" s="2"/>
    </row>
    <row r="69">
      <c r="A69" s="82"/>
      <c r="C69" s="2"/>
    </row>
    <row r="70">
      <c r="A70" s="82"/>
      <c r="C70" s="2"/>
    </row>
    <row r="71">
      <c r="A71" s="82"/>
      <c r="C71" s="2"/>
    </row>
    <row r="72">
      <c r="A72" s="82"/>
      <c r="C72" s="2"/>
    </row>
    <row r="73">
      <c r="A73" s="82"/>
      <c r="C73" s="2"/>
    </row>
    <row r="74">
      <c r="A74" s="82"/>
      <c r="C74" s="2"/>
    </row>
    <row r="75">
      <c r="A75" s="82"/>
      <c r="C75" s="2"/>
    </row>
    <row r="76">
      <c r="A76" s="82"/>
      <c r="C76" s="2"/>
    </row>
    <row r="77">
      <c r="A77" s="82"/>
      <c r="C77" s="2"/>
    </row>
    <row r="78">
      <c r="A78" s="82"/>
      <c r="C78" s="2"/>
    </row>
    <row r="79">
      <c r="A79" s="82"/>
      <c r="C79" s="2"/>
    </row>
    <row r="80">
      <c r="A80" s="82"/>
      <c r="C80" s="2"/>
    </row>
    <row r="81">
      <c r="A81" s="82"/>
      <c r="C81" s="2"/>
    </row>
    <row r="82">
      <c r="A82" s="82"/>
      <c r="C82" s="2"/>
    </row>
    <row r="83">
      <c r="A83" s="82"/>
      <c r="C83" s="2"/>
    </row>
    <row r="84">
      <c r="A84" s="82"/>
      <c r="C84" s="2"/>
    </row>
    <row r="85">
      <c r="A85" s="82"/>
      <c r="C85" s="2"/>
    </row>
    <row r="86">
      <c r="A86" s="82"/>
      <c r="C86" s="2"/>
    </row>
    <row r="87">
      <c r="A87" s="82"/>
      <c r="C87" s="2"/>
    </row>
    <row r="88">
      <c r="A88" s="82"/>
      <c r="C88" s="2"/>
    </row>
    <row r="89">
      <c r="A89" s="82"/>
      <c r="C89" s="2"/>
    </row>
    <row r="90">
      <c r="A90" s="82"/>
      <c r="C90" s="2"/>
    </row>
    <row r="91">
      <c r="A91" s="82"/>
      <c r="C91" s="2"/>
    </row>
    <row r="92">
      <c r="A92" s="82"/>
      <c r="C92" s="2"/>
    </row>
    <row r="93">
      <c r="A93" s="82"/>
      <c r="C93" s="2"/>
    </row>
    <row r="94">
      <c r="A94" s="82"/>
      <c r="C94" s="2"/>
    </row>
    <row r="95">
      <c r="A95" s="82"/>
      <c r="C95" s="2"/>
    </row>
    <row r="96">
      <c r="A96" s="82"/>
      <c r="C96" s="2"/>
    </row>
    <row r="97">
      <c r="A97" s="82"/>
      <c r="C97" s="2"/>
    </row>
    <row r="98">
      <c r="A98" s="82"/>
      <c r="C98" s="2"/>
    </row>
    <row r="99">
      <c r="A99" s="82"/>
      <c r="C99" s="2"/>
    </row>
    <row r="100">
      <c r="A100" s="82"/>
      <c r="C100" s="2"/>
    </row>
    <row r="101">
      <c r="A101" s="82"/>
      <c r="C101" s="2"/>
    </row>
    <row r="102">
      <c r="A102" s="82"/>
      <c r="C102" s="2"/>
    </row>
    <row r="103">
      <c r="A103" s="82"/>
      <c r="C103" s="2"/>
    </row>
    <row r="104">
      <c r="A104" s="82"/>
      <c r="C104" s="2"/>
    </row>
    <row r="105">
      <c r="A105" s="82"/>
      <c r="C105" s="2"/>
    </row>
    <row r="106">
      <c r="A106" s="82"/>
      <c r="C106" s="2"/>
    </row>
    <row r="107">
      <c r="A107" s="82"/>
      <c r="C107" s="2"/>
    </row>
    <row r="108">
      <c r="A108" s="82"/>
      <c r="C108" s="2"/>
    </row>
    <row r="109">
      <c r="A109" s="82"/>
      <c r="C109" s="2"/>
    </row>
    <row r="110">
      <c r="A110" s="82"/>
      <c r="C110" s="2"/>
    </row>
    <row r="111">
      <c r="A111" s="82"/>
      <c r="C111" s="2"/>
    </row>
    <row r="112">
      <c r="A112" s="82"/>
      <c r="C112" s="2"/>
    </row>
    <row r="113">
      <c r="A113" s="82"/>
      <c r="C113" s="2"/>
    </row>
    <row r="114">
      <c r="A114" s="82"/>
      <c r="C114" s="2"/>
    </row>
    <row r="115">
      <c r="A115" s="82"/>
      <c r="C115" s="2"/>
    </row>
    <row r="116">
      <c r="A116" s="82"/>
      <c r="C116" s="2"/>
    </row>
    <row r="117">
      <c r="A117" s="82"/>
      <c r="C117" s="2"/>
    </row>
    <row r="118">
      <c r="A118" s="82"/>
      <c r="C118" s="2"/>
    </row>
    <row r="119">
      <c r="A119" s="82"/>
      <c r="C119" s="2"/>
    </row>
    <row r="120">
      <c r="A120" s="82"/>
      <c r="C120" s="2"/>
    </row>
    <row r="121">
      <c r="A121" s="82"/>
      <c r="C121" s="2"/>
    </row>
    <row r="122">
      <c r="A122" s="82"/>
      <c r="C122" s="2"/>
    </row>
    <row r="123">
      <c r="A123" s="82"/>
      <c r="C123" s="2"/>
    </row>
    <row r="124">
      <c r="A124" s="82"/>
      <c r="C124" s="2"/>
    </row>
    <row r="125">
      <c r="A125" s="82"/>
      <c r="C125" s="2"/>
    </row>
    <row r="126">
      <c r="A126" s="82"/>
      <c r="C126" s="2"/>
    </row>
    <row r="127">
      <c r="A127" s="82"/>
      <c r="C127" s="2"/>
    </row>
    <row r="128">
      <c r="A128" s="82"/>
      <c r="C128" s="2"/>
    </row>
    <row r="129">
      <c r="A129" s="82"/>
      <c r="C129" s="2"/>
    </row>
    <row r="130">
      <c r="A130" s="82"/>
      <c r="C130" s="2"/>
    </row>
    <row r="131">
      <c r="A131" s="82"/>
      <c r="C131" s="2"/>
    </row>
    <row r="132">
      <c r="A132" s="82"/>
      <c r="C132" s="2"/>
    </row>
    <row r="133">
      <c r="A133" s="82"/>
      <c r="C133" s="2"/>
    </row>
    <row r="134">
      <c r="A134" s="82"/>
      <c r="C134" s="2"/>
    </row>
    <row r="135">
      <c r="A135" s="82"/>
      <c r="C135" s="2"/>
    </row>
    <row r="136">
      <c r="A136" s="82"/>
      <c r="C136" s="2"/>
    </row>
    <row r="137">
      <c r="A137" s="82"/>
      <c r="C137" s="2"/>
    </row>
    <row r="138">
      <c r="A138" s="82"/>
      <c r="C138" s="2"/>
    </row>
    <row r="139">
      <c r="A139" s="82"/>
      <c r="C139" s="2"/>
    </row>
    <row r="140">
      <c r="A140" s="82"/>
      <c r="C140" s="2"/>
    </row>
    <row r="141">
      <c r="A141" s="82"/>
      <c r="C141" s="2"/>
    </row>
    <row r="142">
      <c r="A142" s="82"/>
      <c r="C142" s="2"/>
    </row>
    <row r="143">
      <c r="A143" s="82"/>
      <c r="C143" s="2"/>
    </row>
    <row r="144">
      <c r="A144" s="82"/>
      <c r="C144" s="2"/>
    </row>
    <row r="145">
      <c r="A145" s="82"/>
      <c r="C145" s="2"/>
    </row>
    <row r="146">
      <c r="A146" s="82"/>
      <c r="C146" s="2"/>
    </row>
    <row r="147">
      <c r="A147" s="82"/>
      <c r="C147" s="2"/>
    </row>
    <row r="148">
      <c r="A148" s="82"/>
      <c r="C148" s="2"/>
    </row>
    <row r="149">
      <c r="A149" s="82"/>
      <c r="C149" s="2"/>
    </row>
    <row r="150">
      <c r="A150" s="82"/>
      <c r="C150" s="2"/>
    </row>
    <row r="151">
      <c r="A151" s="82"/>
      <c r="C151" s="2"/>
    </row>
    <row r="152">
      <c r="A152" s="82"/>
      <c r="C152" s="2"/>
    </row>
    <row r="153">
      <c r="A153" s="82"/>
      <c r="C153" s="2"/>
    </row>
    <row r="154">
      <c r="A154" s="82"/>
      <c r="C154" s="2"/>
    </row>
    <row r="155">
      <c r="A155" s="82"/>
      <c r="C155" s="2"/>
    </row>
    <row r="156">
      <c r="A156" s="82"/>
      <c r="C156" s="2"/>
    </row>
    <row r="157">
      <c r="A157" s="82"/>
      <c r="C157" s="2"/>
    </row>
    <row r="158">
      <c r="A158" s="82"/>
      <c r="C158" s="2"/>
    </row>
    <row r="159">
      <c r="A159" s="82"/>
      <c r="C159" s="2"/>
    </row>
    <row r="160">
      <c r="A160" s="82"/>
      <c r="C160" s="2"/>
    </row>
    <row r="161">
      <c r="A161" s="82"/>
      <c r="C161" s="2"/>
    </row>
    <row r="162">
      <c r="A162" s="82"/>
      <c r="C162" s="2"/>
    </row>
    <row r="163">
      <c r="A163" s="82"/>
      <c r="C163" s="2"/>
    </row>
    <row r="164">
      <c r="A164" s="82"/>
      <c r="C164" s="2"/>
    </row>
    <row r="165">
      <c r="A165" s="82"/>
      <c r="C165" s="2"/>
    </row>
    <row r="166">
      <c r="A166" s="82"/>
      <c r="C166" s="2"/>
    </row>
    <row r="167">
      <c r="A167" s="82"/>
      <c r="C167" s="2"/>
    </row>
    <row r="168">
      <c r="A168" s="82"/>
      <c r="C168" s="2"/>
    </row>
    <row r="169">
      <c r="A169" s="82"/>
      <c r="C169" s="2"/>
    </row>
    <row r="170">
      <c r="A170" s="82"/>
      <c r="C170" s="2"/>
    </row>
    <row r="171">
      <c r="A171" s="82"/>
      <c r="C171" s="2"/>
    </row>
    <row r="172">
      <c r="A172" s="82"/>
      <c r="C172" s="2"/>
    </row>
    <row r="173">
      <c r="A173" s="82"/>
      <c r="C173" s="2"/>
    </row>
    <row r="174">
      <c r="A174" s="82"/>
      <c r="C174" s="2"/>
    </row>
    <row r="175">
      <c r="A175" s="82"/>
      <c r="C175" s="2"/>
    </row>
    <row r="176">
      <c r="A176" s="82"/>
      <c r="C176" s="2"/>
    </row>
    <row r="177">
      <c r="A177" s="82"/>
      <c r="C177" s="2"/>
    </row>
    <row r="178">
      <c r="A178" s="82"/>
      <c r="C178" s="2"/>
    </row>
    <row r="179">
      <c r="A179" s="82"/>
      <c r="C179" s="2"/>
    </row>
    <row r="180">
      <c r="A180" s="82"/>
      <c r="C180" s="2"/>
    </row>
    <row r="181">
      <c r="A181" s="82"/>
      <c r="C181" s="2"/>
    </row>
    <row r="182">
      <c r="A182" s="82"/>
      <c r="C182" s="2"/>
    </row>
    <row r="183">
      <c r="A183" s="82"/>
      <c r="C183" s="2"/>
    </row>
    <row r="184">
      <c r="A184" s="82"/>
      <c r="C184" s="2"/>
    </row>
    <row r="185">
      <c r="A185" s="82"/>
      <c r="C185" s="2"/>
    </row>
    <row r="186">
      <c r="A186" s="82"/>
      <c r="C186" s="2"/>
    </row>
    <row r="187">
      <c r="A187" s="82"/>
      <c r="C187" s="2"/>
    </row>
    <row r="188">
      <c r="A188" s="82"/>
      <c r="C188" s="2"/>
    </row>
    <row r="189">
      <c r="A189" s="82"/>
      <c r="C189" s="2"/>
    </row>
    <row r="190">
      <c r="A190" s="82"/>
      <c r="C190" s="2"/>
    </row>
    <row r="191">
      <c r="A191" s="82"/>
      <c r="C191" s="2"/>
    </row>
    <row r="192">
      <c r="A192" s="82"/>
      <c r="C192" s="2"/>
    </row>
    <row r="193">
      <c r="A193" s="82"/>
      <c r="C193" s="2"/>
    </row>
    <row r="194">
      <c r="A194" s="82"/>
      <c r="C194" s="2"/>
    </row>
    <row r="195">
      <c r="A195" s="82"/>
      <c r="C195" s="2"/>
    </row>
    <row r="196">
      <c r="A196" s="82"/>
      <c r="C196" s="2"/>
    </row>
    <row r="197">
      <c r="A197" s="82"/>
      <c r="C197" s="2"/>
    </row>
    <row r="198">
      <c r="A198" s="82"/>
      <c r="C198" s="2"/>
    </row>
    <row r="199">
      <c r="A199" s="82"/>
      <c r="C199" s="2"/>
    </row>
    <row r="200">
      <c r="A200" s="82"/>
      <c r="C200" s="2"/>
    </row>
    <row r="201">
      <c r="A201" s="82"/>
      <c r="C201" s="2"/>
    </row>
    <row r="202">
      <c r="A202" s="82"/>
      <c r="C202" s="2"/>
    </row>
    <row r="203">
      <c r="A203" s="82"/>
      <c r="C203" s="2"/>
    </row>
    <row r="204">
      <c r="A204" s="82"/>
      <c r="C204" s="2"/>
    </row>
    <row r="205">
      <c r="A205" s="82"/>
      <c r="C205" s="2"/>
    </row>
    <row r="206">
      <c r="A206" s="82"/>
      <c r="C206" s="2"/>
    </row>
    <row r="207">
      <c r="A207" s="82"/>
      <c r="C207" s="2"/>
    </row>
    <row r="208">
      <c r="A208" s="82"/>
      <c r="C208" s="2"/>
    </row>
    <row r="209">
      <c r="A209" s="82"/>
      <c r="C209" s="2"/>
    </row>
    <row r="210">
      <c r="A210" s="82"/>
      <c r="C210" s="2"/>
    </row>
    <row r="211">
      <c r="A211" s="82"/>
      <c r="C211" s="2"/>
    </row>
    <row r="212">
      <c r="A212" s="82"/>
      <c r="C212" s="2"/>
    </row>
    <row r="213">
      <c r="A213" s="82"/>
      <c r="C213" s="2"/>
    </row>
    <row r="214">
      <c r="A214" s="82"/>
      <c r="C214" s="2"/>
    </row>
    <row r="215">
      <c r="A215" s="82"/>
      <c r="C215" s="2"/>
    </row>
    <row r="216">
      <c r="A216" s="82"/>
      <c r="C216" s="2"/>
    </row>
    <row r="217">
      <c r="A217" s="82"/>
      <c r="C217" s="2"/>
    </row>
    <row r="218">
      <c r="A218" s="82"/>
      <c r="C218" s="2"/>
    </row>
    <row r="219">
      <c r="A219" s="82"/>
      <c r="C219" s="2"/>
    </row>
    <row r="220">
      <c r="A220" s="82"/>
      <c r="C220" s="2"/>
    </row>
    <row r="221">
      <c r="A221" s="82"/>
      <c r="C221" s="2"/>
    </row>
    <row r="222">
      <c r="A222" s="82"/>
      <c r="C222" s="2"/>
    </row>
    <row r="223">
      <c r="A223" s="82"/>
      <c r="C223" s="2"/>
    </row>
    <row r="224">
      <c r="A224" s="82"/>
      <c r="C224" s="2"/>
    </row>
    <row r="225">
      <c r="A225" s="82"/>
      <c r="C225" s="2"/>
    </row>
    <row r="226">
      <c r="A226" s="82"/>
      <c r="C226" s="2"/>
    </row>
    <row r="227">
      <c r="A227" s="82"/>
      <c r="C227" s="2"/>
    </row>
    <row r="228">
      <c r="A228" s="82"/>
      <c r="C228" s="2"/>
    </row>
    <row r="229">
      <c r="A229" s="82"/>
      <c r="C229" s="2"/>
    </row>
    <row r="230">
      <c r="A230" s="82"/>
      <c r="C230" s="2"/>
    </row>
    <row r="231">
      <c r="A231" s="82"/>
      <c r="C231" s="2"/>
    </row>
    <row r="232">
      <c r="A232" s="82"/>
      <c r="C232" s="2"/>
    </row>
    <row r="233">
      <c r="A233" s="82"/>
      <c r="C233" s="2"/>
    </row>
    <row r="234">
      <c r="A234" s="82"/>
      <c r="C234" s="2"/>
    </row>
    <row r="235">
      <c r="A235" s="82"/>
      <c r="C235" s="2"/>
    </row>
    <row r="236">
      <c r="A236" s="82"/>
      <c r="C236" s="2"/>
    </row>
    <row r="237">
      <c r="A237" s="82"/>
      <c r="C237" s="2"/>
    </row>
    <row r="238">
      <c r="A238" s="82"/>
      <c r="C238" s="2"/>
    </row>
    <row r="239">
      <c r="A239" s="82"/>
      <c r="C239" s="2"/>
    </row>
    <row r="240">
      <c r="A240" s="82"/>
      <c r="C240" s="2"/>
    </row>
    <row r="241">
      <c r="A241" s="82"/>
      <c r="C241" s="2"/>
    </row>
    <row r="242">
      <c r="A242" s="82"/>
      <c r="C242" s="2"/>
    </row>
    <row r="243">
      <c r="A243" s="82"/>
      <c r="C243" s="2"/>
    </row>
    <row r="244">
      <c r="A244" s="82"/>
      <c r="C244" s="2"/>
    </row>
    <row r="245">
      <c r="A245" s="82"/>
      <c r="C245" s="2"/>
    </row>
    <row r="246">
      <c r="A246" s="82"/>
      <c r="C246" s="2"/>
    </row>
    <row r="247">
      <c r="A247" s="82"/>
      <c r="C247" s="2"/>
    </row>
    <row r="248">
      <c r="A248" s="82"/>
      <c r="C248" s="2"/>
    </row>
    <row r="249">
      <c r="A249" s="82"/>
      <c r="C249" s="2"/>
    </row>
    <row r="250">
      <c r="A250" s="82"/>
      <c r="C250" s="2"/>
    </row>
    <row r="251">
      <c r="A251" s="82"/>
      <c r="C251" s="2"/>
    </row>
    <row r="252">
      <c r="A252" s="82"/>
      <c r="C252" s="2"/>
    </row>
    <row r="253">
      <c r="A253" s="82"/>
      <c r="C253" s="2"/>
    </row>
    <row r="254">
      <c r="A254" s="82"/>
      <c r="C254" s="2"/>
    </row>
    <row r="255">
      <c r="A255" s="82"/>
      <c r="C255" s="2"/>
    </row>
    <row r="256">
      <c r="A256" s="82"/>
      <c r="C256" s="2"/>
    </row>
    <row r="257">
      <c r="A257" s="82"/>
      <c r="C257" s="2"/>
    </row>
    <row r="258">
      <c r="A258" s="82"/>
      <c r="C258" s="2"/>
    </row>
    <row r="259">
      <c r="A259" s="82"/>
      <c r="C259" s="2"/>
    </row>
    <row r="260">
      <c r="A260" s="82"/>
      <c r="C260" s="2"/>
    </row>
    <row r="261">
      <c r="A261" s="82"/>
      <c r="C261" s="2"/>
    </row>
    <row r="262">
      <c r="A262" s="82"/>
      <c r="C262" s="2"/>
    </row>
    <row r="263">
      <c r="A263" s="82"/>
      <c r="C263" s="2"/>
    </row>
    <row r="264">
      <c r="A264" s="82"/>
      <c r="C264" s="2"/>
    </row>
    <row r="265">
      <c r="A265" s="82"/>
      <c r="C265" s="2"/>
    </row>
    <row r="266">
      <c r="A266" s="82"/>
      <c r="C266" s="2"/>
    </row>
    <row r="267">
      <c r="A267" s="82"/>
      <c r="C267" s="2"/>
    </row>
    <row r="268">
      <c r="A268" s="82"/>
      <c r="C268" s="2"/>
    </row>
    <row r="269">
      <c r="A269" s="82"/>
      <c r="C269" s="2"/>
    </row>
    <row r="270">
      <c r="A270" s="82"/>
      <c r="C270" s="2"/>
    </row>
    <row r="271">
      <c r="A271" s="82"/>
      <c r="C271" s="2"/>
    </row>
    <row r="272">
      <c r="A272" s="82"/>
      <c r="C272" s="2"/>
    </row>
    <row r="273">
      <c r="A273" s="82"/>
      <c r="C273" s="2"/>
    </row>
    <row r="274">
      <c r="A274" s="82"/>
      <c r="C274" s="2"/>
    </row>
    <row r="275">
      <c r="A275" s="82"/>
      <c r="C275" s="2"/>
    </row>
    <row r="276">
      <c r="A276" s="82"/>
      <c r="C276" s="2"/>
    </row>
    <row r="277">
      <c r="A277" s="82"/>
      <c r="C277" s="2"/>
    </row>
    <row r="278">
      <c r="A278" s="82"/>
      <c r="C278" s="2"/>
    </row>
    <row r="279">
      <c r="A279" s="82"/>
      <c r="C279" s="2"/>
    </row>
    <row r="280">
      <c r="A280" s="82"/>
      <c r="C280" s="2"/>
    </row>
    <row r="281">
      <c r="A281" s="82"/>
      <c r="C281" s="2"/>
    </row>
    <row r="282">
      <c r="A282" s="82"/>
      <c r="C282" s="2"/>
    </row>
    <row r="283">
      <c r="A283" s="82"/>
      <c r="C283" s="2"/>
    </row>
    <row r="284">
      <c r="A284" s="82"/>
      <c r="C284" s="2"/>
    </row>
    <row r="285">
      <c r="A285" s="82"/>
      <c r="C285" s="2"/>
    </row>
    <row r="286">
      <c r="A286" s="82"/>
      <c r="C286" s="2"/>
    </row>
    <row r="287">
      <c r="A287" s="82"/>
      <c r="C287" s="2"/>
    </row>
    <row r="288">
      <c r="A288" s="82"/>
      <c r="C288" s="2"/>
    </row>
    <row r="289">
      <c r="A289" s="82"/>
      <c r="C289" s="2"/>
    </row>
    <row r="290">
      <c r="A290" s="82"/>
      <c r="C290" s="2"/>
    </row>
    <row r="291">
      <c r="A291" s="82"/>
      <c r="C291" s="2"/>
    </row>
    <row r="292">
      <c r="A292" s="82"/>
      <c r="C292" s="2"/>
    </row>
    <row r="293">
      <c r="A293" s="82"/>
      <c r="C293" s="2"/>
    </row>
    <row r="294">
      <c r="A294" s="82"/>
      <c r="C294" s="2"/>
    </row>
    <row r="295">
      <c r="A295" s="82"/>
      <c r="C295" s="2"/>
    </row>
    <row r="296">
      <c r="A296" s="82"/>
      <c r="C296" s="2"/>
    </row>
    <row r="297">
      <c r="A297" s="82"/>
      <c r="C297" s="2"/>
    </row>
    <row r="298">
      <c r="A298" s="82"/>
      <c r="C298" s="2"/>
    </row>
    <row r="299">
      <c r="A299" s="82"/>
      <c r="C299" s="2"/>
    </row>
    <row r="300">
      <c r="A300" s="82"/>
      <c r="C300" s="2"/>
    </row>
    <row r="301">
      <c r="A301" s="82"/>
      <c r="C301" s="2"/>
    </row>
    <row r="302">
      <c r="A302" s="82"/>
      <c r="C302" s="2"/>
    </row>
    <row r="303">
      <c r="A303" s="82"/>
      <c r="C303" s="2"/>
    </row>
    <row r="304">
      <c r="A304" s="82"/>
      <c r="C304" s="2"/>
    </row>
    <row r="305">
      <c r="A305" s="82"/>
      <c r="C305" s="2"/>
    </row>
    <row r="306">
      <c r="A306" s="82"/>
      <c r="C306" s="2"/>
    </row>
    <row r="307">
      <c r="A307" s="82"/>
      <c r="C307" s="2"/>
    </row>
    <row r="308">
      <c r="A308" s="82"/>
      <c r="C308" s="2"/>
    </row>
    <row r="309">
      <c r="A309" s="82"/>
      <c r="C309" s="2"/>
    </row>
    <row r="310">
      <c r="A310" s="82"/>
      <c r="C310" s="2"/>
    </row>
    <row r="311">
      <c r="A311" s="82"/>
      <c r="C311" s="2"/>
    </row>
    <row r="312">
      <c r="A312" s="82"/>
      <c r="C312" s="2"/>
    </row>
    <row r="313">
      <c r="A313" s="82"/>
      <c r="C313" s="2"/>
    </row>
    <row r="314">
      <c r="A314" s="82"/>
      <c r="C314" s="2"/>
    </row>
    <row r="315">
      <c r="A315" s="82"/>
      <c r="C315" s="2"/>
    </row>
    <row r="316">
      <c r="A316" s="82"/>
      <c r="C316" s="2"/>
    </row>
    <row r="317">
      <c r="A317" s="82"/>
      <c r="C317" s="2"/>
    </row>
    <row r="318">
      <c r="A318" s="82"/>
      <c r="C318" s="2"/>
    </row>
    <row r="319">
      <c r="A319" s="82"/>
      <c r="C319" s="2"/>
    </row>
    <row r="320">
      <c r="A320" s="82"/>
      <c r="C320" s="2"/>
    </row>
    <row r="321">
      <c r="A321" s="82"/>
      <c r="C321" s="2"/>
    </row>
    <row r="322">
      <c r="A322" s="82"/>
      <c r="C322" s="2"/>
    </row>
    <row r="323">
      <c r="A323" s="82"/>
      <c r="C323" s="2"/>
    </row>
    <row r="324">
      <c r="A324" s="82"/>
      <c r="C324" s="2"/>
    </row>
    <row r="325">
      <c r="A325" s="82"/>
      <c r="C325" s="2"/>
    </row>
    <row r="326">
      <c r="A326" s="82"/>
      <c r="C326" s="2"/>
    </row>
    <row r="327">
      <c r="A327" s="82"/>
      <c r="C327" s="2"/>
    </row>
    <row r="328">
      <c r="A328" s="82"/>
      <c r="C328" s="2"/>
    </row>
    <row r="329">
      <c r="A329" s="82"/>
      <c r="C329" s="2"/>
    </row>
    <row r="330">
      <c r="A330" s="82"/>
      <c r="C330" s="2"/>
    </row>
    <row r="331">
      <c r="A331" s="82"/>
      <c r="C331" s="2"/>
    </row>
    <row r="332">
      <c r="A332" s="82"/>
      <c r="C332" s="2"/>
    </row>
    <row r="333">
      <c r="A333" s="82"/>
      <c r="C333" s="2"/>
    </row>
    <row r="334">
      <c r="A334" s="82"/>
      <c r="C334" s="2"/>
    </row>
    <row r="335">
      <c r="A335" s="82"/>
      <c r="C335" s="2"/>
    </row>
    <row r="336">
      <c r="A336" s="82"/>
      <c r="C336" s="2"/>
    </row>
    <row r="337">
      <c r="A337" s="82"/>
      <c r="C337" s="2"/>
    </row>
    <row r="338">
      <c r="A338" s="82"/>
      <c r="C338" s="2"/>
    </row>
    <row r="339">
      <c r="A339" s="82"/>
      <c r="C339" s="2"/>
    </row>
    <row r="340">
      <c r="A340" s="82"/>
      <c r="C340" s="2"/>
    </row>
    <row r="341">
      <c r="A341" s="82"/>
      <c r="C341" s="2"/>
    </row>
    <row r="342">
      <c r="A342" s="82"/>
      <c r="C342" s="2"/>
    </row>
    <row r="343">
      <c r="A343" s="82"/>
      <c r="C343" s="2"/>
    </row>
    <row r="344">
      <c r="A344" s="82"/>
      <c r="C344" s="2"/>
    </row>
    <row r="345">
      <c r="A345" s="82"/>
      <c r="C345" s="2"/>
    </row>
    <row r="346">
      <c r="A346" s="82"/>
      <c r="C346" s="2"/>
    </row>
    <row r="347">
      <c r="A347" s="82"/>
      <c r="C347" s="2"/>
    </row>
    <row r="348">
      <c r="A348" s="82"/>
      <c r="C348" s="2"/>
    </row>
    <row r="349">
      <c r="A349" s="82"/>
      <c r="C349" s="2"/>
    </row>
    <row r="350">
      <c r="A350" s="82"/>
      <c r="C350" s="2"/>
    </row>
    <row r="351">
      <c r="A351" s="82"/>
      <c r="C351" s="2"/>
    </row>
    <row r="352">
      <c r="A352" s="82"/>
      <c r="C352" s="2"/>
    </row>
    <row r="353">
      <c r="A353" s="82"/>
      <c r="C353" s="2"/>
    </row>
    <row r="354">
      <c r="A354" s="82"/>
      <c r="C354" s="2"/>
    </row>
    <row r="355">
      <c r="A355" s="82"/>
      <c r="C355" s="2"/>
    </row>
    <row r="356">
      <c r="A356" s="82"/>
      <c r="C356" s="2"/>
    </row>
    <row r="357">
      <c r="A357" s="82"/>
      <c r="C357" s="2"/>
    </row>
    <row r="358">
      <c r="A358" s="82"/>
      <c r="C358" s="2"/>
    </row>
    <row r="359">
      <c r="A359" s="82"/>
      <c r="C359" s="2"/>
    </row>
    <row r="360">
      <c r="A360" s="82"/>
      <c r="C360" s="2"/>
    </row>
    <row r="361">
      <c r="A361" s="82"/>
      <c r="C361" s="2"/>
    </row>
    <row r="362">
      <c r="A362" s="82"/>
      <c r="C362" s="2"/>
    </row>
    <row r="363">
      <c r="A363" s="82"/>
      <c r="C363" s="2"/>
    </row>
    <row r="364">
      <c r="A364" s="82"/>
      <c r="C364" s="2"/>
    </row>
    <row r="365">
      <c r="A365" s="82"/>
      <c r="C365" s="2"/>
    </row>
    <row r="366">
      <c r="A366" s="82"/>
      <c r="C366" s="2"/>
    </row>
    <row r="367">
      <c r="A367" s="82"/>
      <c r="C367" s="2"/>
    </row>
    <row r="368">
      <c r="A368" s="82"/>
      <c r="C368" s="2"/>
    </row>
    <row r="369">
      <c r="A369" s="82"/>
      <c r="C369" s="2"/>
    </row>
    <row r="370">
      <c r="A370" s="82"/>
      <c r="C370" s="2"/>
    </row>
    <row r="371">
      <c r="A371" s="82"/>
      <c r="C371" s="2"/>
    </row>
    <row r="372">
      <c r="A372" s="82"/>
      <c r="C372" s="2"/>
    </row>
    <row r="373">
      <c r="A373" s="82"/>
      <c r="C373" s="2"/>
    </row>
    <row r="374">
      <c r="A374" s="82"/>
      <c r="C374" s="2"/>
    </row>
    <row r="375">
      <c r="A375" s="82"/>
      <c r="C375" s="2"/>
    </row>
    <row r="376">
      <c r="A376" s="82"/>
      <c r="C376" s="2"/>
    </row>
    <row r="377">
      <c r="A377" s="82"/>
      <c r="C377" s="2"/>
    </row>
    <row r="378">
      <c r="A378" s="82"/>
      <c r="C378" s="2"/>
    </row>
    <row r="379">
      <c r="A379" s="82"/>
      <c r="C379" s="2"/>
    </row>
    <row r="380">
      <c r="A380" s="82"/>
      <c r="C380" s="2"/>
    </row>
    <row r="381">
      <c r="A381" s="82"/>
      <c r="C381" s="2"/>
    </row>
    <row r="382">
      <c r="A382" s="82"/>
      <c r="C382" s="2"/>
    </row>
    <row r="383">
      <c r="A383" s="82"/>
      <c r="C383" s="2"/>
    </row>
    <row r="384">
      <c r="A384" s="82"/>
      <c r="C384" s="2"/>
    </row>
    <row r="385">
      <c r="A385" s="82"/>
      <c r="C385" s="2"/>
    </row>
    <row r="386">
      <c r="A386" s="82"/>
      <c r="C386" s="2"/>
    </row>
    <row r="387">
      <c r="A387" s="82"/>
      <c r="C387" s="2"/>
    </row>
    <row r="388">
      <c r="A388" s="82"/>
      <c r="C388" s="2"/>
    </row>
    <row r="389">
      <c r="A389" s="82"/>
      <c r="C389" s="2"/>
    </row>
    <row r="390">
      <c r="A390" s="82"/>
      <c r="C390" s="2"/>
    </row>
    <row r="391">
      <c r="A391" s="82"/>
      <c r="C391" s="2"/>
    </row>
    <row r="392">
      <c r="A392" s="82"/>
      <c r="C392" s="2"/>
    </row>
    <row r="393">
      <c r="A393" s="82"/>
      <c r="C393" s="2"/>
    </row>
    <row r="394">
      <c r="A394" s="82"/>
      <c r="C394" s="2"/>
    </row>
    <row r="395">
      <c r="A395" s="82"/>
      <c r="C395" s="2"/>
    </row>
    <row r="396">
      <c r="A396" s="82"/>
      <c r="C396" s="2"/>
    </row>
    <row r="397">
      <c r="A397" s="82"/>
      <c r="C397" s="2"/>
    </row>
    <row r="398">
      <c r="A398" s="82"/>
      <c r="C398" s="2"/>
    </row>
    <row r="399">
      <c r="A399" s="82"/>
      <c r="C399" s="2"/>
    </row>
    <row r="400">
      <c r="A400" s="82"/>
      <c r="C400" s="2"/>
    </row>
    <row r="401">
      <c r="A401" s="82"/>
      <c r="C401" s="2"/>
    </row>
    <row r="402">
      <c r="A402" s="82"/>
      <c r="C402" s="2"/>
    </row>
    <row r="403">
      <c r="A403" s="82"/>
      <c r="C403" s="2"/>
    </row>
    <row r="404">
      <c r="A404" s="82"/>
      <c r="C404" s="2"/>
    </row>
    <row r="405">
      <c r="A405" s="82"/>
      <c r="C405" s="2"/>
    </row>
    <row r="406">
      <c r="A406" s="82"/>
      <c r="C406" s="2"/>
    </row>
    <row r="407">
      <c r="A407" s="82"/>
      <c r="C407" s="2"/>
    </row>
    <row r="408">
      <c r="A408" s="82"/>
      <c r="C408" s="2"/>
    </row>
    <row r="409">
      <c r="A409" s="82"/>
      <c r="C409" s="2"/>
    </row>
    <row r="410">
      <c r="A410" s="82"/>
      <c r="C410" s="2"/>
    </row>
    <row r="411">
      <c r="A411" s="82"/>
      <c r="C411" s="2"/>
    </row>
    <row r="412">
      <c r="A412" s="82"/>
      <c r="C412" s="2"/>
    </row>
    <row r="413">
      <c r="A413" s="82"/>
      <c r="C413" s="2"/>
    </row>
    <row r="414">
      <c r="A414" s="82"/>
      <c r="C414" s="2"/>
    </row>
    <row r="415">
      <c r="A415" s="82"/>
      <c r="C415" s="2"/>
    </row>
    <row r="416">
      <c r="A416" s="82"/>
      <c r="C416" s="2"/>
    </row>
    <row r="417">
      <c r="A417" s="82"/>
      <c r="C417" s="2"/>
    </row>
    <row r="418">
      <c r="A418" s="82"/>
      <c r="C418" s="2"/>
    </row>
    <row r="419">
      <c r="A419" s="82"/>
      <c r="C419" s="2"/>
    </row>
    <row r="420">
      <c r="A420" s="82"/>
      <c r="C420" s="2"/>
    </row>
    <row r="421">
      <c r="A421" s="82"/>
      <c r="C421" s="2"/>
    </row>
    <row r="422">
      <c r="A422" s="82"/>
      <c r="C422" s="2"/>
    </row>
    <row r="423">
      <c r="A423" s="82"/>
      <c r="C423" s="2"/>
    </row>
    <row r="424">
      <c r="A424" s="82"/>
      <c r="C424" s="2"/>
    </row>
    <row r="425">
      <c r="A425" s="82"/>
      <c r="C425" s="2"/>
    </row>
    <row r="426">
      <c r="A426" s="82"/>
      <c r="C426" s="2"/>
    </row>
    <row r="427">
      <c r="A427" s="82"/>
      <c r="C427" s="2"/>
    </row>
    <row r="428">
      <c r="A428" s="82"/>
      <c r="C428" s="2"/>
    </row>
    <row r="429">
      <c r="A429" s="82"/>
      <c r="C429" s="2"/>
    </row>
    <row r="430">
      <c r="A430" s="82"/>
      <c r="C430" s="2"/>
    </row>
    <row r="431">
      <c r="A431" s="82"/>
      <c r="C431" s="2"/>
    </row>
    <row r="432">
      <c r="A432" s="82"/>
      <c r="C432" s="2"/>
    </row>
    <row r="433">
      <c r="A433" s="82"/>
      <c r="C433" s="2"/>
    </row>
    <row r="434">
      <c r="A434" s="82"/>
      <c r="C434" s="2"/>
    </row>
    <row r="435">
      <c r="A435" s="82"/>
      <c r="C435" s="2"/>
    </row>
    <row r="436">
      <c r="A436" s="82"/>
      <c r="C436" s="2"/>
    </row>
    <row r="437">
      <c r="A437" s="82"/>
      <c r="C437" s="2"/>
    </row>
    <row r="438">
      <c r="A438" s="82"/>
      <c r="C438" s="2"/>
    </row>
    <row r="439">
      <c r="A439" s="82"/>
      <c r="C439" s="2"/>
    </row>
    <row r="440">
      <c r="A440" s="82"/>
      <c r="C440" s="2"/>
    </row>
    <row r="441">
      <c r="A441" s="82"/>
      <c r="C441" s="2"/>
    </row>
    <row r="442">
      <c r="A442" s="82"/>
      <c r="C442" s="2"/>
    </row>
    <row r="443">
      <c r="A443" s="82"/>
      <c r="C443" s="2"/>
    </row>
    <row r="444">
      <c r="A444" s="82"/>
      <c r="C444" s="2"/>
    </row>
    <row r="445">
      <c r="A445" s="82"/>
      <c r="C445" s="2"/>
    </row>
    <row r="446">
      <c r="A446" s="82"/>
      <c r="C446" s="2"/>
    </row>
    <row r="447">
      <c r="A447" s="82"/>
      <c r="C447" s="2"/>
    </row>
    <row r="448">
      <c r="A448" s="82"/>
      <c r="C448" s="2"/>
    </row>
    <row r="449">
      <c r="A449" s="82"/>
      <c r="C449" s="2"/>
    </row>
    <row r="450">
      <c r="A450" s="82"/>
      <c r="C450" s="2"/>
    </row>
    <row r="451">
      <c r="A451" s="82"/>
      <c r="C451" s="2"/>
    </row>
    <row r="452">
      <c r="A452" s="82"/>
      <c r="C452" s="2"/>
    </row>
    <row r="453">
      <c r="A453" s="82"/>
      <c r="C453" s="2"/>
    </row>
    <row r="454">
      <c r="A454" s="82"/>
      <c r="C454" s="2"/>
    </row>
    <row r="455">
      <c r="A455" s="82"/>
      <c r="C455" s="2"/>
    </row>
    <row r="456">
      <c r="A456" s="82"/>
      <c r="C456" s="2"/>
    </row>
    <row r="457">
      <c r="A457" s="82"/>
      <c r="C457" s="2"/>
    </row>
    <row r="458">
      <c r="A458" s="82"/>
      <c r="C458" s="2"/>
    </row>
    <row r="459">
      <c r="A459" s="82"/>
      <c r="C459" s="2"/>
    </row>
    <row r="460">
      <c r="A460" s="82"/>
      <c r="C460" s="2"/>
    </row>
    <row r="461">
      <c r="A461" s="82"/>
      <c r="C461" s="2"/>
    </row>
    <row r="462">
      <c r="A462" s="82"/>
      <c r="C462" s="2"/>
    </row>
    <row r="463">
      <c r="A463" s="82"/>
      <c r="C463" s="2"/>
    </row>
    <row r="464">
      <c r="A464" s="82"/>
      <c r="C464" s="2"/>
    </row>
    <row r="465">
      <c r="A465" s="82"/>
      <c r="C465" s="2"/>
    </row>
    <row r="466">
      <c r="A466" s="82"/>
      <c r="C466" s="2"/>
    </row>
    <row r="467">
      <c r="A467" s="82"/>
      <c r="C467" s="2"/>
    </row>
    <row r="468">
      <c r="A468" s="82"/>
      <c r="C468" s="2"/>
    </row>
    <row r="469">
      <c r="A469" s="82"/>
      <c r="C469" s="2"/>
    </row>
    <row r="470">
      <c r="A470" s="82"/>
      <c r="C470" s="2"/>
    </row>
    <row r="471">
      <c r="A471" s="82"/>
      <c r="C471" s="2"/>
    </row>
    <row r="472">
      <c r="A472" s="82"/>
      <c r="C472" s="2"/>
    </row>
    <row r="473">
      <c r="A473" s="82"/>
      <c r="C473" s="2"/>
    </row>
    <row r="474">
      <c r="A474" s="82"/>
      <c r="C474" s="2"/>
    </row>
    <row r="475">
      <c r="A475" s="82"/>
      <c r="C475" s="2"/>
    </row>
    <row r="476">
      <c r="A476" s="82"/>
      <c r="C476" s="2"/>
    </row>
    <row r="477">
      <c r="A477" s="82"/>
      <c r="C477" s="2"/>
    </row>
    <row r="478">
      <c r="A478" s="82"/>
      <c r="C478" s="2"/>
    </row>
    <row r="479">
      <c r="A479" s="82"/>
      <c r="C479" s="2"/>
    </row>
    <row r="480">
      <c r="A480" s="82"/>
      <c r="C480" s="2"/>
    </row>
    <row r="481">
      <c r="A481" s="82"/>
      <c r="C481" s="2"/>
    </row>
    <row r="482">
      <c r="A482" s="82"/>
      <c r="C482" s="2"/>
    </row>
    <row r="483">
      <c r="A483" s="82"/>
      <c r="C483" s="2"/>
    </row>
    <row r="484">
      <c r="A484" s="82"/>
      <c r="C484" s="2"/>
    </row>
    <row r="485">
      <c r="A485" s="82"/>
      <c r="C485" s="2"/>
    </row>
    <row r="486">
      <c r="A486" s="82"/>
      <c r="C486" s="2"/>
    </row>
    <row r="487">
      <c r="A487" s="82"/>
      <c r="C487" s="2"/>
    </row>
    <row r="488">
      <c r="A488" s="82"/>
      <c r="C488" s="2"/>
    </row>
    <row r="489">
      <c r="A489" s="82"/>
      <c r="C489" s="2"/>
    </row>
    <row r="490">
      <c r="A490" s="82"/>
      <c r="C490" s="2"/>
    </row>
    <row r="491">
      <c r="A491" s="82"/>
      <c r="C491" s="2"/>
    </row>
    <row r="492">
      <c r="A492" s="82"/>
      <c r="C492" s="2"/>
    </row>
    <row r="493">
      <c r="A493" s="82"/>
      <c r="C493" s="2"/>
    </row>
    <row r="494">
      <c r="A494" s="82"/>
      <c r="C494" s="2"/>
    </row>
    <row r="495">
      <c r="A495" s="82"/>
      <c r="C495" s="2"/>
    </row>
    <row r="496">
      <c r="A496" s="82"/>
      <c r="C496" s="2"/>
    </row>
    <row r="497">
      <c r="A497" s="82"/>
      <c r="C497" s="2"/>
    </row>
    <row r="498">
      <c r="A498" s="82"/>
      <c r="C498" s="2"/>
    </row>
    <row r="499">
      <c r="A499" s="82"/>
      <c r="C499" s="2"/>
    </row>
    <row r="500">
      <c r="A500" s="82"/>
      <c r="C500" s="2"/>
    </row>
    <row r="501">
      <c r="A501" s="82"/>
      <c r="C501" s="2"/>
    </row>
    <row r="502">
      <c r="A502" s="82"/>
      <c r="C502" s="2"/>
    </row>
    <row r="503">
      <c r="A503" s="82"/>
      <c r="C503" s="2"/>
    </row>
    <row r="504">
      <c r="A504" s="82"/>
      <c r="C504" s="2"/>
    </row>
    <row r="505">
      <c r="A505" s="82"/>
      <c r="C505" s="2"/>
    </row>
    <row r="506">
      <c r="A506" s="82"/>
      <c r="C506" s="2"/>
    </row>
    <row r="507">
      <c r="A507" s="82"/>
      <c r="C507" s="2"/>
    </row>
    <row r="508">
      <c r="A508" s="82"/>
      <c r="C508" s="2"/>
    </row>
    <row r="509">
      <c r="A509" s="82"/>
      <c r="C509" s="2"/>
    </row>
    <row r="510">
      <c r="A510" s="82"/>
      <c r="C510" s="2"/>
    </row>
    <row r="511">
      <c r="A511" s="82"/>
      <c r="C511" s="2"/>
    </row>
    <row r="512">
      <c r="A512" s="82"/>
      <c r="C512" s="2"/>
    </row>
    <row r="513">
      <c r="A513" s="82"/>
      <c r="C513" s="2"/>
    </row>
    <row r="514">
      <c r="A514" s="82"/>
      <c r="C514" s="2"/>
    </row>
    <row r="515">
      <c r="A515" s="82"/>
      <c r="C515" s="2"/>
    </row>
    <row r="516">
      <c r="A516" s="82"/>
      <c r="C516" s="2"/>
    </row>
    <row r="517">
      <c r="A517" s="82"/>
      <c r="C517" s="2"/>
    </row>
    <row r="518">
      <c r="A518" s="82"/>
      <c r="C518" s="2"/>
    </row>
    <row r="519">
      <c r="A519" s="82"/>
      <c r="C519" s="2"/>
    </row>
    <row r="520">
      <c r="A520" s="82"/>
      <c r="C520" s="2"/>
    </row>
    <row r="521">
      <c r="A521" s="82"/>
      <c r="C521" s="2"/>
    </row>
    <row r="522">
      <c r="A522" s="82"/>
      <c r="C522" s="2"/>
    </row>
    <row r="523">
      <c r="A523" s="82"/>
      <c r="C523" s="2"/>
    </row>
    <row r="524">
      <c r="A524" s="82"/>
      <c r="C524" s="2"/>
    </row>
    <row r="525">
      <c r="A525" s="82"/>
      <c r="C525" s="2"/>
    </row>
    <row r="526">
      <c r="A526" s="82"/>
      <c r="C526" s="2"/>
    </row>
    <row r="527">
      <c r="A527" s="82"/>
      <c r="C527" s="2"/>
    </row>
    <row r="528">
      <c r="A528" s="82"/>
      <c r="C528" s="2"/>
    </row>
    <row r="529">
      <c r="A529" s="82"/>
      <c r="C529" s="2"/>
    </row>
    <row r="530">
      <c r="A530" s="82"/>
      <c r="C530" s="2"/>
    </row>
    <row r="531">
      <c r="A531" s="82"/>
      <c r="C531" s="2"/>
    </row>
    <row r="532">
      <c r="A532" s="82"/>
      <c r="C532" s="2"/>
    </row>
    <row r="533">
      <c r="A533" s="82"/>
      <c r="C533" s="2"/>
    </row>
    <row r="534">
      <c r="A534" s="82"/>
      <c r="C534" s="2"/>
    </row>
    <row r="535">
      <c r="A535" s="82"/>
      <c r="C535" s="2"/>
    </row>
    <row r="536">
      <c r="A536" s="82"/>
      <c r="C536" s="2"/>
    </row>
    <row r="537">
      <c r="A537" s="82"/>
      <c r="C537" s="2"/>
    </row>
    <row r="538">
      <c r="A538" s="82"/>
      <c r="C538" s="2"/>
    </row>
    <row r="539">
      <c r="A539" s="82"/>
      <c r="C539" s="2"/>
    </row>
    <row r="540">
      <c r="A540" s="82"/>
      <c r="C540" s="2"/>
    </row>
    <row r="541">
      <c r="A541" s="82"/>
      <c r="C541" s="2"/>
    </row>
    <row r="542">
      <c r="A542" s="82"/>
      <c r="C542" s="2"/>
    </row>
    <row r="543">
      <c r="A543" s="82"/>
      <c r="C543" s="2"/>
    </row>
    <row r="544">
      <c r="A544" s="82"/>
      <c r="C544" s="2"/>
    </row>
    <row r="545">
      <c r="A545" s="82"/>
      <c r="C545" s="2"/>
    </row>
    <row r="546">
      <c r="A546" s="82"/>
      <c r="C546" s="2"/>
    </row>
    <row r="547">
      <c r="A547" s="82"/>
      <c r="C547" s="2"/>
    </row>
    <row r="548">
      <c r="A548" s="82"/>
      <c r="C548" s="2"/>
    </row>
    <row r="549">
      <c r="A549" s="82"/>
      <c r="C549" s="2"/>
    </row>
    <row r="550">
      <c r="A550" s="82"/>
      <c r="C550" s="2"/>
    </row>
    <row r="551">
      <c r="A551" s="82"/>
      <c r="C551" s="2"/>
    </row>
    <row r="552">
      <c r="A552" s="82"/>
      <c r="C552" s="2"/>
    </row>
    <row r="553">
      <c r="A553" s="82"/>
      <c r="C553" s="2"/>
    </row>
    <row r="554">
      <c r="A554" s="82"/>
      <c r="C554" s="2"/>
    </row>
    <row r="555">
      <c r="A555" s="82"/>
      <c r="C555" s="2"/>
    </row>
    <row r="556">
      <c r="A556" s="82"/>
      <c r="C556" s="2"/>
    </row>
    <row r="557">
      <c r="A557" s="82"/>
      <c r="C557" s="2"/>
    </row>
    <row r="558">
      <c r="A558" s="82"/>
      <c r="C558" s="2"/>
    </row>
    <row r="559">
      <c r="A559" s="82"/>
      <c r="C559" s="2"/>
    </row>
    <row r="560">
      <c r="A560" s="82"/>
      <c r="C560" s="2"/>
    </row>
    <row r="561">
      <c r="A561" s="82"/>
      <c r="C561" s="2"/>
    </row>
    <row r="562">
      <c r="A562" s="82"/>
      <c r="C562" s="2"/>
    </row>
    <row r="563">
      <c r="A563" s="82"/>
      <c r="C563" s="2"/>
    </row>
    <row r="564">
      <c r="A564" s="82"/>
      <c r="C564" s="2"/>
    </row>
    <row r="565">
      <c r="A565" s="82"/>
      <c r="C565" s="2"/>
    </row>
    <row r="566">
      <c r="A566" s="82"/>
      <c r="C566" s="2"/>
    </row>
    <row r="567">
      <c r="A567" s="82"/>
      <c r="C567" s="2"/>
    </row>
    <row r="568">
      <c r="A568" s="82"/>
      <c r="C568" s="2"/>
    </row>
    <row r="569">
      <c r="A569" s="82"/>
      <c r="C569" s="2"/>
    </row>
    <row r="570">
      <c r="A570" s="82"/>
      <c r="C570" s="2"/>
    </row>
    <row r="571">
      <c r="A571" s="82"/>
      <c r="C571" s="2"/>
    </row>
    <row r="572">
      <c r="A572" s="82"/>
      <c r="C572" s="2"/>
    </row>
    <row r="573">
      <c r="A573" s="82"/>
      <c r="C573" s="2"/>
    </row>
    <row r="574">
      <c r="A574" s="82"/>
      <c r="C574" s="2"/>
    </row>
    <row r="575">
      <c r="A575" s="82"/>
      <c r="C575" s="2"/>
    </row>
    <row r="576">
      <c r="A576" s="82"/>
      <c r="C576" s="2"/>
    </row>
    <row r="577">
      <c r="A577" s="82"/>
      <c r="C577" s="2"/>
    </row>
    <row r="578">
      <c r="A578" s="82"/>
      <c r="C578" s="2"/>
    </row>
    <row r="579">
      <c r="A579" s="82"/>
      <c r="C579" s="2"/>
    </row>
    <row r="580">
      <c r="A580" s="82"/>
      <c r="C580" s="2"/>
    </row>
    <row r="581">
      <c r="A581" s="82"/>
      <c r="C581" s="2"/>
    </row>
    <row r="582">
      <c r="A582" s="82"/>
      <c r="C582" s="2"/>
    </row>
    <row r="583">
      <c r="A583" s="82"/>
      <c r="C583" s="2"/>
    </row>
    <row r="584">
      <c r="A584" s="82"/>
      <c r="C584" s="2"/>
    </row>
    <row r="585">
      <c r="A585" s="82"/>
      <c r="C585" s="2"/>
    </row>
    <row r="586">
      <c r="A586" s="82"/>
      <c r="C586" s="2"/>
    </row>
    <row r="587">
      <c r="A587" s="82"/>
      <c r="C587" s="2"/>
    </row>
    <row r="588">
      <c r="A588" s="82"/>
      <c r="C588" s="2"/>
    </row>
    <row r="589">
      <c r="A589" s="82"/>
      <c r="C589" s="2"/>
    </row>
    <row r="590">
      <c r="A590" s="82"/>
      <c r="C590" s="2"/>
    </row>
    <row r="591">
      <c r="A591" s="82"/>
      <c r="C591" s="2"/>
    </row>
    <row r="592">
      <c r="A592" s="82"/>
      <c r="C592" s="2"/>
    </row>
    <row r="593">
      <c r="A593" s="82"/>
      <c r="C593" s="2"/>
    </row>
    <row r="594">
      <c r="A594" s="82"/>
      <c r="C594" s="2"/>
    </row>
    <row r="595">
      <c r="A595" s="82"/>
      <c r="C595" s="2"/>
    </row>
    <row r="596">
      <c r="A596" s="82"/>
      <c r="C596" s="2"/>
    </row>
    <row r="597">
      <c r="A597" s="82"/>
      <c r="C597" s="2"/>
    </row>
    <row r="598">
      <c r="A598" s="82"/>
      <c r="C598" s="2"/>
    </row>
    <row r="599">
      <c r="A599" s="82"/>
      <c r="C599" s="2"/>
    </row>
    <row r="600">
      <c r="A600" s="82"/>
      <c r="C600" s="2"/>
    </row>
    <row r="601">
      <c r="A601" s="82"/>
      <c r="C601" s="2"/>
    </row>
    <row r="602">
      <c r="A602" s="82"/>
      <c r="C602" s="2"/>
    </row>
    <row r="603">
      <c r="A603" s="82"/>
      <c r="C603" s="2"/>
    </row>
    <row r="604">
      <c r="A604" s="82"/>
      <c r="C604" s="2"/>
    </row>
    <row r="605">
      <c r="A605" s="82"/>
      <c r="C605" s="2"/>
    </row>
    <row r="606">
      <c r="A606" s="82"/>
      <c r="C606" s="2"/>
    </row>
    <row r="607">
      <c r="A607" s="82"/>
      <c r="C607" s="2"/>
    </row>
    <row r="608">
      <c r="A608" s="82"/>
      <c r="C608" s="2"/>
    </row>
    <row r="609">
      <c r="A609" s="82"/>
      <c r="C609" s="2"/>
    </row>
    <row r="610">
      <c r="A610" s="82"/>
      <c r="C610" s="2"/>
    </row>
    <row r="611">
      <c r="A611" s="82"/>
      <c r="C611" s="2"/>
    </row>
    <row r="612">
      <c r="A612" s="82"/>
      <c r="C612" s="2"/>
    </row>
    <row r="613">
      <c r="A613" s="82"/>
      <c r="C613" s="2"/>
    </row>
    <row r="614">
      <c r="A614" s="82"/>
      <c r="C614" s="2"/>
    </row>
    <row r="615">
      <c r="A615" s="82"/>
      <c r="C615" s="2"/>
    </row>
    <row r="616">
      <c r="A616" s="82"/>
      <c r="C616" s="2"/>
    </row>
    <row r="617">
      <c r="A617" s="82"/>
      <c r="C617" s="2"/>
    </row>
    <row r="618">
      <c r="A618" s="82"/>
      <c r="C618" s="2"/>
    </row>
    <row r="619">
      <c r="A619" s="82"/>
      <c r="C619" s="2"/>
    </row>
    <row r="620">
      <c r="A620" s="82"/>
      <c r="C620" s="2"/>
    </row>
    <row r="621">
      <c r="A621" s="82"/>
      <c r="C621" s="2"/>
    </row>
    <row r="622">
      <c r="A622" s="82"/>
      <c r="C622" s="2"/>
    </row>
    <row r="623">
      <c r="A623" s="82"/>
      <c r="C623" s="2"/>
    </row>
    <row r="624">
      <c r="A624" s="82"/>
      <c r="C624" s="2"/>
    </row>
    <row r="625">
      <c r="A625" s="82"/>
      <c r="C625" s="2"/>
    </row>
    <row r="626">
      <c r="A626" s="82"/>
      <c r="C626" s="2"/>
    </row>
    <row r="627">
      <c r="A627" s="82"/>
      <c r="C627" s="2"/>
    </row>
    <row r="628">
      <c r="A628" s="82"/>
      <c r="C628" s="2"/>
    </row>
    <row r="629">
      <c r="A629" s="82"/>
      <c r="C629" s="2"/>
    </row>
    <row r="630">
      <c r="A630" s="82"/>
      <c r="C630" s="2"/>
    </row>
    <row r="631">
      <c r="A631" s="82"/>
      <c r="C631" s="2"/>
    </row>
    <row r="632">
      <c r="A632" s="82"/>
      <c r="C632" s="2"/>
    </row>
    <row r="633">
      <c r="A633" s="82"/>
      <c r="C633" s="2"/>
    </row>
    <row r="634">
      <c r="A634" s="82"/>
      <c r="C634" s="2"/>
    </row>
    <row r="635">
      <c r="A635" s="82"/>
      <c r="C635" s="2"/>
    </row>
    <row r="636">
      <c r="A636" s="82"/>
      <c r="C636" s="2"/>
    </row>
    <row r="637">
      <c r="A637" s="82"/>
      <c r="C637" s="2"/>
    </row>
    <row r="638">
      <c r="A638" s="82"/>
      <c r="C638" s="2"/>
    </row>
    <row r="639">
      <c r="A639" s="82"/>
      <c r="C639" s="2"/>
    </row>
    <row r="640">
      <c r="A640" s="82"/>
      <c r="C640" s="2"/>
    </row>
    <row r="641">
      <c r="A641" s="82"/>
      <c r="C641" s="2"/>
    </row>
    <row r="642">
      <c r="A642" s="82"/>
      <c r="C642" s="2"/>
    </row>
    <row r="643">
      <c r="A643" s="82"/>
      <c r="C643" s="2"/>
    </row>
    <row r="644">
      <c r="A644" s="82"/>
      <c r="C644" s="2"/>
    </row>
    <row r="645">
      <c r="A645" s="82"/>
      <c r="C645" s="2"/>
    </row>
    <row r="646">
      <c r="A646" s="82"/>
      <c r="C646" s="2"/>
    </row>
    <row r="647">
      <c r="A647" s="82"/>
      <c r="C647" s="2"/>
    </row>
    <row r="648">
      <c r="A648" s="82"/>
      <c r="C648" s="2"/>
    </row>
    <row r="649">
      <c r="A649" s="82"/>
      <c r="C649" s="2"/>
    </row>
    <row r="650">
      <c r="A650" s="82"/>
      <c r="C650" s="2"/>
    </row>
    <row r="651">
      <c r="A651" s="82"/>
      <c r="C651" s="2"/>
    </row>
    <row r="652">
      <c r="A652" s="82"/>
      <c r="C652" s="2"/>
    </row>
    <row r="653">
      <c r="A653" s="82"/>
      <c r="C653" s="2"/>
    </row>
    <row r="654">
      <c r="A654" s="82"/>
      <c r="C654" s="2"/>
    </row>
    <row r="655">
      <c r="A655" s="82"/>
      <c r="C655" s="2"/>
    </row>
    <row r="656">
      <c r="A656" s="82"/>
      <c r="C656" s="2"/>
    </row>
    <row r="657">
      <c r="A657" s="82"/>
      <c r="C657" s="2"/>
    </row>
    <row r="658">
      <c r="A658" s="82"/>
      <c r="C658" s="2"/>
    </row>
    <row r="659">
      <c r="A659" s="82"/>
      <c r="C659" s="2"/>
    </row>
    <row r="660">
      <c r="A660" s="82"/>
      <c r="C660" s="2"/>
    </row>
    <row r="661">
      <c r="A661" s="82"/>
      <c r="C661" s="2"/>
    </row>
    <row r="662">
      <c r="A662" s="82"/>
      <c r="C662" s="2"/>
    </row>
    <row r="663">
      <c r="A663" s="82"/>
      <c r="C663" s="2"/>
    </row>
    <row r="664">
      <c r="A664" s="82"/>
      <c r="C664" s="2"/>
    </row>
    <row r="665">
      <c r="A665" s="82"/>
      <c r="C665" s="2"/>
    </row>
    <row r="666">
      <c r="A666" s="82"/>
      <c r="C666" s="2"/>
    </row>
    <row r="667">
      <c r="A667" s="82"/>
      <c r="C667" s="2"/>
    </row>
    <row r="668">
      <c r="A668" s="82"/>
      <c r="C668" s="2"/>
    </row>
    <row r="669">
      <c r="A669" s="82"/>
      <c r="C669" s="2"/>
    </row>
    <row r="670">
      <c r="A670" s="82"/>
      <c r="C670" s="2"/>
    </row>
    <row r="671">
      <c r="A671" s="82"/>
      <c r="C671" s="2"/>
    </row>
    <row r="672">
      <c r="A672" s="82"/>
      <c r="C672" s="2"/>
    </row>
    <row r="673">
      <c r="A673" s="82"/>
      <c r="C673" s="2"/>
    </row>
    <row r="674">
      <c r="A674" s="82"/>
      <c r="C674" s="2"/>
    </row>
    <row r="675">
      <c r="A675" s="82"/>
      <c r="C675" s="2"/>
    </row>
    <row r="676">
      <c r="A676" s="82"/>
      <c r="C676" s="2"/>
    </row>
    <row r="677">
      <c r="A677" s="82"/>
      <c r="C677" s="2"/>
    </row>
    <row r="678">
      <c r="A678" s="82"/>
      <c r="C678" s="2"/>
    </row>
    <row r="679">
      <c r="A679" s="82"/>
      <c r="C679" s="2"/>
    </row>
    <row r="680">
      <c r="A680" s="82"/>
      <c r="C680" s="2"/>
    </row>
    <row r="681">
      <c r="A681" s="82"/>
      <c r="C681" s="2"/>
    </row>
    <row r="682">
      <c r="A682" s="82"/>
      <c r="C682" s="2"/>
    </row>
    <row r="683">
      <c r="A683" s="82"/>
      <c r="C683" s="2"/>
    </row>
    <row r="684">
      <c r="A684" s="82"/>
      <c r="C684" s="2"/>
    </row>
    <row r="685">
      <c r="A685" s="82"/>
      <c r="C685" s="2"/>
    </row>
    <row r="686">
      <c r="A686" s="82"/>
      <c r="C686" s="2"/>
    </row>
    <row r="687">
      <c r="A687" s="82"/>
      <c r="C687" s="2"/>
    </row>
    <row r="688">
      <c r="A688" s="82"/>
      <c r="C688" s="2"/>
    </row>
    <row r="689">
      <c r="A689" s="82"/>
      <c r="C689" s="2"/>
    </row>
    <row r="690">
      <c r="A690" s="82"/>
      <c r="C690" s="2"/>
    </row>
    <row r="691">
      <c r="A691" s="82"/>
      <c r="C691" s="2"/>
    </row>
    <row r="692">
      <c r="A692" s="82"/>
      <c r="C692" s="2"/>
    </row>
    <row r="693">
      <c r="A693" s="82"/>
      <c r="C693" s="2"/>
    </row>
    <row r="694">
      <c r="A694" s="82"/>
      <c r="C694" s="2"/>
    </row>
    <row r="695">
      <c r="A695" s="82"/>
      <c r="C695" s="2"/>
    </row>
    <row r="696">
      <c r="A696" s="82"/>
      <c r="C696" s="2"/>
    </row>
    <row r="697">
      <c r="A697" s="82"/>
      <c r="C697" s="2"/>
    </row>
    <row r="698">
      <c r="A698" s="82"/>
      <c r="C698" s="2"/>
    </row>
    <row r="699">
      <c r="A699" s="82"/>
      <c r="C699" s="2"/>
    </row>
    <row r="700">
      <c r="A700" s="82"/>
      <c r="C700" s="2"/>
    </row>
    <row r="701">
      <c r="A701" s="82"/>
      <c r="C701" s="2"/>
    </row>
    <row r="702">
      <c r="A702" s="82"/>
      <c r="C702" s="2"/>
    </row>
    <row r="703">
      <c r="A703" s="82"/>
      <c r="C703" s="2"/>
    </row>
    <row r="704">
      <c r="A704" s="82"/>
      <c r="C704" s="2"/>
    </row>
    <row r="705">
      <c r="A705" s="82"/>
      <c r="C705" s="2"/>
    </row>
    <row r="706">
      <c r="A706" s="82"/>
      <c r="C706" s="2"/>
    </row>
    <row r="707">
      <c r="A707" s="82"/>
      <c r="C707" s="2"/>
    </row>
    <row r="708">
      <c r="A708" s="82"/>
      <c r="C708" s="2"/>
    </row>
    <row r="709">
      <c r="A709" s="82"/>
      <c r="C709" s="2"/>
    </row>
    <row r="710">
      <c r="A710" s="82"/>
      <c r="C710" s="2"/>
    </row>
    <row r="711">
      <c r="A711" s="82"/>
      <c r="C711" s="2"/>
    </row>
    <row r="712">
      <c r="A712" s="82"/>
      <c r="C712" s="2"/>
    </row>
    <row r="713">
      <c r="A713" s="82"/>
      <c r="C713" s="2"/>
    </row>
    <row r="714">
      <c r="A714" s="82"/>
      <c r="C714" s="2"/>
    </row>
    <row r="715">
      <c r="A715" s="82"/>
      <c r="C715" s="2"/>
    </row>
    <row r="716">
      <c r="A716" s="82"/>
      <c r="C716" s="2"/>
    </row>
    <row r="717">
      <c r="A717" s="82"/>
      <c r="C717" s="2"/>
    </row>
    <row r="718">
      <c r="A718" s="82"/>
      <c r="C718" s="2"/>
    </row>
    <row r="719">
      <c r="A719" s="82"/>
      <c r="C719" s="2"/>
    </row>
    <row r="720">
      <c r="A720" s="82"/>
      <c r="C720" s="2"/>
    </row>
    <row r="721">
      <c r="A721" s="82"/>
      <c r="C721" s="2"/>
    </row>
    <row r="722">
      <c r="A722" s="82"/>
      <c r="C722" s="2"/>
    </row>
    <row r="723">
      <c r="A723" s="82"/>
      <c r="C723" s="2"/>
    </row>
    <row r="724">
      <c r="A724" s="82"/>
      <c r="C724" s="2"/>
    </row>
    <row r="725">
      <c r="A725" s="82"/>
      <c r="C725" s="2"/>
    </row>
    <row r="726">
      <c r="A726" s="82"/>
      <c r="C726" s="2"/>
    </row>
    <row r="727">
      <c r="A727" s="82"/>
      <c r="C727" s="2"/>
    </row>
    <row r="728">
      <c r="A728" s="82"/>
      <c r="C728" s="2"/>
    </row>
    <row r="729">
      <c r="A729" s="82"/>
      <c r="C729" s="2"/>
    </row>
    <row r="730">
      <c r="A730" s="82"/>
      <c r="C730" s="2"/>
    </row>
    <row r="731">
      <c r="A731" s="82"/>
      <c r="C731" s="2"/>
    </row>
    <row r="732">
      <c r="A732" s="82"/>
      <c r="C732" s="2"/>
    </row>
    <row r="733">
      <c r="A733" s="82"/>
      <c r="C733" s="2"/>
    </row>
    <row r="734">
      <c r="A734" s="82"/>
      <c r="C734" s="2"/>
    </row>
    <row r="735">
      <c r="A735" s="82"/>
      <c r="C735" s="2"/>
    </row>
    <row r="736">
      <c r="A736" s="82"/>
      <c r="C736" s="2"/>
    </row>
    <row r="737">
      <c r="A737" s="82"/>
      <c r="C737" s="2"/>
    </row>
    <row r="738">
      <c r="A738" s="82"/>
      <c r="C738" s="2"/>
    </row>
    <row r="739">
      <c r="A739" s="82"/>
      <c r="C739" s="2"/>
    </row>
    <row r="740">
      <c r="A740" s="82"/>
      <c r="C740" s="2"/>
    </row>
    <row r="741">
      <c r="A741" s="82"/>
      <c r="C741" s="2"/>
    </row>
    <row r="742">
      <c r="A742" s="82"/>
      <c r="C742" s="2"/>
    </row>
    <row r="743">
      <c r="A743" s="82"/>
      <c r="C743" s="2"/>
    </row>
    <row r="744">
      <c r="A744" s="82"/>
      <c r="C744" s="2"/>
    </row>
    <row r="745">
      <c r="A745" s="82"/>
      <c r="C745" s="2"/>
    </row>
    <row r="746">
      <c r="A746" s="82"/>
      <c r="C746" s="2"/>
    </row>
    <row r="747">
      <c r="A747" s="82"/>
      <c r="C747" s="2"/>
    </row>
    <row r="748">
      <c r="A748" s="82"/>
      <c r="C748" s="2"/>
    </row>
    <row r="749">
      <c r="A749" s="82"/>
      <c r="C749" s="2"/>
    </row>
    <row r="750">
      <c r="A750" s="82"/>
      <c r="C750" s="2"/>
    </row>
    <row r="751">
      <c r="A751" s="82"/>
      <c r="C751" s="2"/>
    </row>
    <row r="752">
      <c r="A752" s="82"/>
      <c r="C752" s="2"/>
    </row>
    <row r="753">
      <c r="A753" s="82"/>
      <c r="C753" s="2"/>
    </row>
    <row r="754">
      <c r="A754" s="82"/>
      <c r="C754" s="2"/>
    </row>
    <row r="755">
      <c r="A755" s="82"/>
      <c r="C755" s="2"/>
    </row>
    <row r="756">
      <c r="A756" s="82"/>
      <c r="C756" s="2"/>
    </row>
    <row r="757">
      <c r="A757" s="82"/>
      <c r="C757" s="2"/>
    </row>
    <row r="758">
      <c r="A758" s="82"/>
      <c r="C758" s="2"/>
    </row>
    <row r="759">
      <c r="A759" s="82"/>
      <c r="C759" s="2"/>
    </row>
    <row r="760">
      <c r="A760" s="82"/>
      <c r="C760" s="2"/>
    </row>
    <row r="761">
      <c r="A761" s="82"/>
      <c r="C761" s="2"/>
    </row>
    <row r="762">
      <c r="A762" s="82"/>
      <c r="C762" s="2"/>
    </row>
    <row r="763">
      <c r="A763" s="82"/>
      <c r="C763" s="2"/>
    </row>
    <row r="764">
      <c r="A764" s="82"/>
      <c r="C764" s="2"/>
    </row>
    <row r="765">
      <c r="A765" s="82"/>
      <c r="C765" s="2"/>
    </row>
    <row r="766">
      <c r="A766" s="82"/>
      <c r="C766" s="2"/>
    </row>
    <row r="767">
      <c r="A767" s="82"/>
      <c r="C767" s="2"/>
    </row>
    <row r="768">
      <c r="A768" s="82"/>
      <c r="C768" s="2"/>
    </row>
    <row r="769">
      <c r="A769" s="82"/>
      <c r="C769" s="2"/>
    </row>
    <row r="770">
      <c r="A770" s="82"/>
      <c r="C770" s="2"/>
    </row>
    <row r="771">
      <c r="A771" s="82"/>
      <c r="C771" s="2"/>
    </row>
    <row r="772">
      <c r="A772" s="82"/>
      <c r="C772" s="2"/>
    </row>
    <row r="773">
      <c r="A773" s="82"/>
      <c r="C773" s="2"/>
    </row>
    <row r="774">
      <c r="A774" s="82"/>
      <c r="C774" s="2"/>
    </row>
    <row r="775">
      <c r="A775" s="82"/>
      <c r="C775" s="2"/>
    </row>
    <row r="776">
      <c r="A776" s="82"/>
      <c r="C776" s="2"/>
    </row>
    <row r="777">
      <c r="A777" s="82"/>
      <c r="C777" s="2"/>
    </row>
    <row r="778">
      <c r="A778" s="82"/>
      <c r="C778" s="2"/>
    </row>
    <row r="779">
      <c r="A779" s="82"/>
      <c r="C779" s="2"/>
    </row>
    <row r="780">
      <c r="A780" s="82"/>
      <c r="C780" s="2"/>
    </row>
    <row r="781">
      <c r="A781" s="82"/>
      <c r="C781" s="2"/>
    </row>
    <row r="782">
      <c r="A782" s="82"/>
      <c r="C782" s="2"/>
    </row>
    <row r="783">
      <c r="A783" s="82"/>
      <c r="C783" s="2"/>
    </row>
    <row r="784">
      <c r="A784" s="82"/>
      <c r="C784" s="2"/>
    </row>
    <row r="785">
      <c r="A785" s="82"/>
      <c r="C785" s="2"/>
    </row>
    <row r="786">
      <c r="A786" s="82"/>
      <c r="C786" s="2"/>
    </row>
    <row r="787">
      <c r="A787" s="82"/>
      <c r="C787" s="2"/>
    </row>
    <row r="788">
      <c r="A788" s="82"/>
      <c r="C788" s="2"/>
    </row>
    <row r="789">
      <c r="A789" s="82"/>
      <c r="C789" s="2"/>
    </row>
    <row r="790">
      <c r="A790" s="82"/>
      <c r="C790" s="2"/>
    </row>
    <row r="791">
      <c r="A791" s="82"/>
      <c r="C791" s="2"/>
    </row>
    <row r="792">
      <c r="A792" s="82"/>
      <c r="C792" s="2"/>
    </row>
    <row r="793">
      <c r="A793" s="82"/>
      <c r="C793" s="2"/>
    </row>
    <row r="794">
      <c r="A794" s="82"/>
      <c r="C794" s="2"/>
    </row>
    <row r="795">
      <c r="A795" s="82"/>
      <c r="C795" s="2"/>
    </row>
    <row r="796">
      <c r="A796" s="82"/>
      <c r="C796" s="2"/>
    </row>
    <row r="797">
      <c r="A797" s="82"/>
      <c r="C797" s="2"/>
    </row>
    <row r="798">
      <c r="A798" s="82"/>
      <c r="C798" s="2"/>
    </row>
    <row r="799">
      <c r="A799" s="82"/>
      <c r="C799" s="2"/>
    </row>
    <row r="800">
      <c r="A800" s="82"/>
      <c r="C800" s="2"/>
    </row>
    <row r="801">
      <c r="A801" s="82"/>
      <c r="C801" s="2"/>
    </row>
    <row r="802">
      <c r="A802" s="82"/>
      <c r="C802" s="2"/>
    </row>
    <row r="803">
      <c r="A803" s="82"/>
      <c r="C803" s="2"/>
    </row>
    <row r="804">
      <c r="A804" s="82"/>
      <c r="C804" s="2"/>
    </row>
    <row r="805">
      <c r="A805" s="82"/>
      <c r="C805" s="2"/>
    </row>
    <row r="806">
      <c r="A806" s="82"/>
      <c r="C806" s="2"/>
    </row>
    <row r="807">
      <c r="A807" s="82"/>
      <c r="C807" s="2"/>
    </row>
    <row r="808">
      <c r="A808" s="82"/>
      <c r="C808" s="2"/>
    </row>
    <row r="809">
      <c r="A809" s="82"/>
      <c r="C809" s="2"/>
    </row>
    <row r="810">
      <c r="A810" s="82"/>
      <c r="C810" s="2"/>
    </row>
    <row r="811">
      <c r="A811" s="82"/>
      <c r="C811" s="2"/>
    </row>
    <row r="812">
      <c r="A812" s="82"/>
      <c r="C812" s="2"/>
    </row>
    <row r="813">
      <c r="A813" s="82"/>
      <c r="C813" s="2"/>
    </row>
    <row r="814">
      <c r="A814" s="82"/>
      <c r="C814" s="2"/>
    </row>
    <row r="815">
      <c r="A815" s="82"/>
      <c r="C815" s="2"/>
    </row>
    <row r="816">
      <c r="A816" s="82"/>
      <c r="C816" s="2"/>
    </row>
    <row r="817">
      <c r="A817" s="82"/>
      <c r="C817" s="2"/>
    </row>
    <row r="818">
      <c r="A818" s="82"/>
      <c r="C818" s="2"/>
    </row>
    <row r="819">
      <c r="A819" s="82"/>
      <c r="C819" s="2"/>
    </row>
    <row r="820">
      <c r="A820" s="82"/>
      <c r="C820" s="2"/>
    </row>
    <row r="821">
      <c r="A821" s="82"/>
      <c r="C821" s="2"/>
    </row>
    <row r="822">
      <c r="A822" s="82"/>
      <c r="C822" s="2"/>
    </row>
    <row r="823">
      <c r="A823" s="82"/>
      <c r="C823" s="2"/>
    </row>
    <row r="824">
      <c r="A824" s="82"/>
      <c r="C824" s="2"/>
    </row>
    <row r="825">
      <c r="A825" s="82"/>
      <c r="C825" s="2"/>
    </row>
    <row r="826">
      <c r="A826" s="82"/>
      <c r="C826" s="2"/>
    </row>
    <row r="827">
      <c r="A827" s="82"/>
      <c r="C827" s="2"/>
    </row>
    <row r="828">
      <c r="A828" s="82"/>
      <c r="C828" s="2"/>
    </row>
    <row r="829">
      <c r="A829" s="82"/>
      <c r="C829" s="2"/>
    </row>
    <row r="830">
      <c r="A830" s="82"/>
      <c r="C830" s="2"/>
    </row>
    <row r="831">
      <c r="A831" s="82"/>
      <c r="C831" s="2"/>
    </row>
    <row r="832">
      <c r="A832" s="82"/>
      <c r="C832" s="2"/>
    </row>
    <row r="833">
      <c r="A833" s="82"/>
      <c r="C833" s="2"/>
    </row>
    <row r="834">
      <c r="A834" s="82"/>
      <c r="C834" s="2"/>
    </row>
    <row r="835">
      <c r="A835" s="82"/>
      <c r="C835" s="2"/>
    </row>
    <row r="836">
      <c r="A836" s="82"/>
      <c r="C836" s="2"/>
    </row>
    <row r="837">
      <c r="A837" s="82"/>
      <c r="C837" s="2"/>
    </row>
    <row r="838">
      <c r="A838" s="82"/>
      <c r="C838" s="2"/>
    </row>
    <row r="839">
      <c r="A839" s="82"/>
      <c r="C839" s="2"/>
    </row>
    <row r="840">
      <c r="A840" s="82"/>
      <c r="C840" s="2"/>
    </row>
    <row r="841">
      <c r="A841" s="82"/>
      <c r="C841" s="2"/>
    </row>
    <row r="842">
      <c r="A842" s="82"/>
      <c r="C842" s="2"/>
    </row>
    <row r="843">
      <c r="A843" s="82"/>
      <c r="C843" s="2"/>
    </row>
    <row r="844">
      <c r="A844" s="82"/>
      <c r="C844" s="2"/>
    </row>
    <row r="845">
      <c r="A845" s="82"/>
      <c r="C845" s="2"/>
    </row>
    <row r="846">
      <c r="A846" s="82"/>
      <c r="C846" s="2"/>
    </row>
    <row r="847">
      <c r="A847" s="82"/>
      <c r="C847" s="2"/>
    </row>
    <row r="848">
      <c r="A848" s="82"/>
      <c r="C848" s="2"/>
    </row>
    <row r="849">
      <c r="A849" s="82"/>
      <c r="C849" s="2"/>
    </row>
    <row r="850">
      <c r="A850" s="82"/>
      <c r="C850" s="2"/>
    </row>
    <row r="851">
      <c r="A851" s="82"/>
      <c r="C851" s="2"/>
    </row>
    <row r="852">
      <c r="A852" s="82"/>
      <c r="C852" s="2"/>
    </row>
    <row r="853">
      <c r="A853" s="82"/>
      <c r="C853" s="2"/>
    </row>
    <row r="854">
      <c r="A854" s="82"/>
      <c r="C854" s="2"/>
    </row>
    <row r="855">
      <c r="A855" s="82"/>
      <c r="C855" s="2"/>
    </row>
    <row r="856">
      <c r="A856" s="82"/>
      <c r="C856" s="2"/>
    </row>
    <row r="857">
      <c r="A857" s="82"/>
      <c r="C857" s="2"/>
    </row>
    <row r="858">
      <c r="A858" s="82"/>
      <c r="C858" s="2"/>
    </row>
    <row r="859">
      <c r="A859" s="82"/>
      <c r="C859" s="2"/>
    </row>
    <row r="860">
      <c r="A860" s="82"/>
      <c r="C860" s="2"/>
    </row>
    <row r="861">
      <c r="A861" s="82"/>
      <c r="C861" s="2"/>
    </row>
    <row r="862">
      <c r="A862" s="82"/>
      <c r="C862" s="2"/>
    </row>
    <row r="863">
      <c r="A863" s="82"/>
      <c r="C863" s="2"/>
    </row>
    <row r="864">
      <c r="A864" s="82"/>
      <c r="C864" s="2"/>
    </row>
    <row r="865">
      <c r="A865" s="82"/>
      <c r="C865" s="2"/>
    </row>
    <row r="866">
      <c r="A866" s="82"/>
      <c r="C866" s="2"/>
    </row>
    <row r="867">
      <c r="A867" s="82"/>
      <c r="C867" s="2"/>
    </row>
    <row r="868">
      <c r="A868" s="82"/>
      <c r="C868" s="2"/>
    </row>
    <row r="869">
      <c r="A869" s="82"/>
      <c r="C869" s="2"/>
    </row>
    <row r="870">
      <c r="A870" s="82"/>
      <c r="C870" s="2"/>
    </row>
    <row r="871">
      <c r="A871" s="82"/>
      <c r="C871" s="2"/>
    </row>
    <row r="872">
      <c r="A872" s="82"/>
      <c r="C872" s="2"/>
    </row>
    <row r="873">
      <c r="A873" s="82"/>
      <c r="C873" s="2"/>
    </row>
    <row r="874">
      <c r="A874" s="82"/>
      <c r="C874" s="2"/>
    </row>
    <row r="875">
      <c r="A875" s="82"/>
      <c r="C875" s="2"/>
    </row>
    <row r="876">
      <c r="A876" s="82"/>
      <c r="C876" s="2"/>
    </row>
    <row r="877">
      <c r="A877" s="82"/>
      <c r="C877" s="2"/>
    </row>
    <row r="878">
      <c r="A878" s="82"/>
      <c r="C878" s="2"/>
    </row>
    <row r="879">
      <c r="A879" s="82"/>
      <c r="C879" s="2"/>
    </row>
    <row r="880">
      <c r="A880" s="82"/>
      <c r="C880" s="2"/>
    </row>
    <row r="881">
      <c r="A881" s="82"/>
      <c r="C881" s="2"/>
    </row>
    <row r="882">
      <c r="A882" s="82"/>
      <c r="C882" s="2"/>
    </row>
    <row r="883">
      <c r="A883" s="82"/>
      <c r="C883" s="2"/>
    </row>
    <row r="884">
      <c r="A884" s="82"/>
      <c r="C884" s="2"/>
    </row>
    <row r="885">
      <c r="A885" s="82"/>
      <c r="C885" s="2"/>
    </row>
    <row r="886">
      <c r="A886" s="82"/>
      <c r="C886" s="2"/>
    </row>
    <row r="887">
      <c r="A887" s="82"/>
      <c r="C887" s="2"/>
    </row>
    <row r="888">
      <c r="A888" s="82"/>
      <c r="C888" s="2"/>
    </row>
    <row r="889">
      <c r="A889" s="82"/>
      <c r="C889" s="2"/>
    </row>
    <row r="890">
      <c r="A890" s="82"/>
      <c r="C890" s="2"/>
    </row>
    <row r="891">
      <c r="A891" s="82"/>
      <c r="C891" s="2"/>
    </row>
    <row r="892">
      <c r="A892" s="82"/>
      <c r="C892" s="2"/>
    </row>
    <row r="893">
      <c r="A893" s="82"/>
      <c r="C893" s="2"/>
    </row>
    <row r="894">
      <c r="A894" s="82"/>
      <c r="C894" s="2"/>
    </row>
    <row r="895">
      <c r="A895" s="82"/>
      <c r="C895" s="2"/>
    </row>
    <row r="896">
      <c r="A896" s="82"/>
      <c r="C896" s="2"/>
    </row>
    <row r="897">
      <c r="A897" s="82"/>
      <c r="C897" s="2"/>
    </row>
    <row r="898">
      <c r="A898" s="82"/>
      <c r="C898" s="2"/>
    </row>
    <row r="899">
      <c r="A899" s="82"/>
      <c r="C899" s="2"/>
    </row>
    <row r="900">
      <c r="A900" s="82"/>
      <c r="C900" s="2"/>
    </row>
    <row r="901">
      <c r="A901" s="82"/>
      <c r="C901" s="2"/>
    </row>
    <row r="902">
      <c r="A902" s="82"/>
      <c r="C902" s="2"/>
    </row>
    <row r="903">
      <c r="A903" s="82"/>
      <c r="C903" s="2"/>
    </row>
    <row r="904">
      <c r="A904" s="82"/>
      <c r="C904" s="2"/>
    </row>
    <row r="905">
      <c r="A905" s="82"/>
      <c r="C905" s="2"/>
    </row>
    <row r="906">
      <c r="A906" s="82"/>
      <c r="C906" s="2"/>
    </row>
    <row r="907">
      <c r="A907" s="82"/>
      <c r="C907" s="2"/>
    </row>
    <row r="908">
      <c r="A908" s="82"/>
      <c r="C908" s="2"/>
    </row>
    <row r="909">
      <c r="A909" s="82"/>
      <c r="C909" s="2"/>
    </row>
    <row r="910">
      <c r="A910" s="82"/>
      <c r="C910" s="2"/>
    </row>
    <row r="911">
      <c r="A911" s="82"/>
      <c r="C911" s="2"/>
    </row>
    <row r="912">
      <c r="A912" s="82"/>
      <c r="C912" s="2"/>
    </row>
    <row r="913">
      <c r="A913" s="82"/>
      <c r="C913" s="2"/>
    </row>
    <row r="914">
      <c r="A914" s="82"/>
      <c r="C914" s="2"/>
    </row>
    <row r="915">
      <c r="A915" s="82"/>
      <c r="C915" s="2"/>
    </row>
    <row r="916">
      <c r="A916" s="82"/>
      <c r="C916" s="2"/>
    </row>
    <row r="917">
      <c r="A917" s="82"/>
      <c r="C917" s="2"/>
    </row>
    <row r="918">
      <c r="A918" s="82"/>
      <c r="C918" s="2"/>
    </row>
    <row r="919">
      <c r="A919" s="82"/>
      <c r="C919" s="2"/>
    </row>
    <row r="920">
      <c r="A920" s="82"/>
      <c r="C920" s="2"/>
    </row>
    <row r="921">
      <c r="A921" s="82"/>
      <c r="C921" s="2"/>
    </row>
    <row r="922">
      <c r="A922" s="82"/>
      <c r="C922" s="2"/>
    </row>
    <row r="923">
      <c r="A923" s="82"/>
      <c r="C923" s="2"/>
    </row>
    <row r="924">
      <c r="A924" s="82"/>
      <c r="C924" s="2"/>
    </row>
    <row r="925">
      <c r="A925" s="82"/>
      <c r="C925" s="2"/>
    </row>
    <row r="926">
      <c r="A926" s="82"/>
      <c r="C926" s="2"/>
    </row>
    <row r="927">
      <c r="A927" s="82"/>
      <c r="C927" s="2"/>
    </row>
    <row r="928">
      <c r="A928" s="82"/>
      <c r="C928" s="2"/>
    </row>
    <row r="929">
      <c r="A929" s="82"/>
      <c r="C929" s="2"/>
    </row>
    <row r="930">
      <c r="A930" s="82"/>
      <c r="C930" s="2"/>
    </row>
    <row r="931">
      <c r="A931" s="82"/>
      <c r="C931" s="2"/>
    </row>
    <row r="932">
      <c r="A932" s="82"/>
      <c r="C932" s="2"/>
    </row>
    <row r="933">
      <c r="A933" s="82"/>
      <c r="C933" s="2"/>
    </row>
    <row r="934">
      <c r="A934" s="82"/>
      <c r="C934" s="2"/>
    </row>
    <row r="935">
      <c r="A935" s="82"/>
      <c r="C935" s="2"/>
    </row>
    <row r="936">
      <c r="A936" s="82"/>
      <c r="C936" s="2"/>
    </row>
    <row r="937">
      <c r="A937" s="82"/>
      <c r="C937" s="2"/>
    </row>
    <row r="938">
      <c r="A938" s="82"/>
      <c r="C938" s="2"/>
    </row>
    <row r="939">
      <c r="A939" s="82"/>
      <c r="C939" s="2"/>
    </row>
    <row r="940">
      <c r="A940" s="82"/>
      <c r="C940" s="2"/>
    </row>
    <row r="941">
      <c r="A941" s="82"/>
      <c r="C941" s="2"/>
    </row>
    <row r="942">
      <c r="A942" s="82"/>
      <c r="C942" s="2"/>
    </row>
    <row r="943">
      <c r="A943" s="82"/>
      <c r="C943" s="2"/>
    </row>
    <row r="944">
      <c r="A944" s="82"/>
      <c r="C944" s="2"/>
    </row>
    <row r="945">
      <c r="A945" s="82"/>
      <c r="C945" s="2"/>
    </row>
    <row r="946">
      <c r="A946" s="82"/>
      <c r="C946" s="2"/>
    </row>
    <row r="947">
      <c r="A947" s="82"/>
      <c r="C947" s="2"/>
    </row>
    <row r="948">
      <c r="A948" s="82"/>
      <c r="C948" s="2"/>
    </row>
    <row r="949">
      <c r="A949" s="82"/>
      <c r="C949" s="2"/>
    </row>
    <row r="950">
      <c r="A950" s="82"/>
      <c r="C950" s="2"/>
    </row>
    <row r="951">
      <c r="A951" s="82"/>
      <c r="C951" s="2"/>
    </row>
    <row r="952">
      <c r="A952" s="82"/>
      <c r="C952" s="2"/>
    </row>
    <row r="953">
      <c r="A953" s="82"/>
      <c r="C953" s="2"/>
    </row>
    <row r="954">
      <c r="A954" s="82"/>
      <c r="C954" s="2"/>
    </row>
    <row r="955">
      <c r="A955" s="82"/>
      <c r="C955" s="2"/>
    </row>
    <row r="956">
      <c r="A956" s="82"/>
      <c r="C956" s="2"/>
    </row>
    <row r="957">
      <c r="A957" s="82"/>
      <c r="C957" s="2"/>
    </row>
    <row r="958">
      <c r="A958" s="82"/>
      <c r="C958" s="2"/>
    </row>
    <row r="959">
      <c r="A959" s="82"/>
      <c r="C959" s="2"/>
    </row>
    <row r="960">
      <c r="A960" s="82"/>
      <c r="C960" s="2"/>
    </row>
    <row r="961">
      <c r="A961" s="82"/>
      <c r="C961" s="2"/>
    </row>
    <row r="962">
      <c r="A962" s="82"/>
      <c r="C962" s="2"/>
    </row>
    <row r="963">
      <c r="A963" s="82"/>
      <c r="C963" s="2"/>
    </row>
    <row r="964">
      <c r="A964" s="82"/>
      <c r="C964" s="2"/>
    </row>
    <row r="965">
      <c r="A965" s="82"/>
      <c r="C965" s="2"/>
    </row>
    <row r="966">
      <c r="A966" s="82"/>
      <c r="C966" s="2"/>
    </row>
    <row r="967">
      <c r="A967" s="82"/>
      <c r="C967" s="2"/>
    </row>
    <row r="968">
      <c r="A968" s="82"/>
      <c r="C968" s="2"/>
    </row>
    <row r="969">
      <c r="A969" s="82"/>
      <c r="C969" s="2"/>
    </row>
    <row r="970">
      <c r="A970" s="82"/>
      <c r="C970" s="2"/>
    </row>
    <row r="971">
      <c r="A971" s="82"/>
      <c r="C971" s="2"/>
    </row>
    <row r="972">
      <c r="A972" s="82"/>
      <c r="C972" s="2"/>
    </row>
    <row r="973">
      <c r="A973" s="82"/>
      <c r="C973" s="2"/>
    </row>
    <row r="974">
      <c r="A974" s="82"/>
      <c r="C974" s="2"/>
    </row>
    <row r="975">
      <c r="A975" s="82"/>
      <c r="C975" s="2"/>
    </row>
    <row r="976">
      <c r="A976" s="82"/>
      <c r="C976" s="2"/>
    </row>
    <row r="977">
      <c r="A977" s="82"/>
      <c r="C977" s="2"/>
    </row>
    <row r="978">
      <c r="A978" s="82"/>
      <c r="C978" s="2"/>
    </row>
    <row r="979">
      <c r="A979" s="82"/>
      <c r="C979" s="2"/>
    </row>
    <row r="980">
      <c r="A980" s="82"/>
      <c r="C980" s="2"/>
    </row>
    <row r="981">
      <c r="A981" s="82"/>
      <c r="C981" s="2"/>
    </row>
    <row r="982">
      <c r="A982" s="82"/>
      <c r="C982" s="2"/>
    </row>
    <row r="983">
      <c r="A983" s="82"/>
      <c r="C983" s="2"/>
    </row>
    <row r="984">
      <c r="A984" s="82"/>
      <c r="C984" s="2"/>
    </row>
    <row r="985">
      <c r="A985" s="82"/>
      <c r="C985" s="2"/>
    </row>
    <row r="986">
      <c r="A986" s="82"/>
      <c r="C986" s="2"/>
    </row>
    <row r="987">
      <c r="A987" s="82"/>
      <c r="C987" s="2"/>
    </row>
    <row r="988">
      <c r="A988" s="82"/>
      <c r="C988" s="2"/>
    </row>
    <row r="989">
      <c r="A989" s="82"/>
      <c r="C989" s="2"/>
    </row>
    <row r="990">
      <c r="A990" s="82"/>
      <c r="C990" s="2"/>
    </row>
    <row r="991">
      <c r="A991" s="82"/>
      <c r="C991" s="2"/>
    </row>
    <row r="992">
      <c r="A992" s="82"/>
      <c r="C992" s="2"/>
    </row>
    <row r="993">
      <c r="A993" s="82"/>
      <c r="C993" s="2"/>
    </row>
    <row r="994">
      <c r="A994" s="82"/>
      <c r="C994" s="2"/>
    </row>
    <row r="995">
      <c r="A995" s="82"/>
      <c r="C995" s="2"/>
    </row>
    <row r="996">
      <c r="A996" s="82"/>
      <c r="C996" s="2"/>
    </row>
    <row r="997">
      <c r="A997" s="82"/>
      <c r="C997" s="2"/>
    </row>
    <row r="998">
      <c r="A998" s="82"/>
      <c r="C998" s="2"/>
    </row>
    <row r="999">
      <c r="A999" s="82"/>
      <c r="C999" s="2"/>
    </row>
    <row r="1000">
      <c r="A1000" s="82"/>
      <c r="C1000" s="2"/>
    </row>
  </sheetData>
  <printOptions gridLines="1" horizontalCentered="1"/>
  <pageMargins bottom="0.75" footer="0.0" header="0.0" left="0.7" right="0.7" top="0.75"/>
  <pageSetup cellComments="atEnd" orientation="portrait" pageOrder="overThenDown"/>
  <drawing r:id="rId4"/>
  <legacy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5.13"/>
    <col customWidth="1" min="3" max="3" width="30.75"/>
    <col customWidth="1" min="5" max="5" width="31.0"/>
    <col customWidth="1" min="7" max="7" width="31.0"/>
    <col customWidth="1" min="8" max="8" width="19.5"/>
  </cols>
  <sheetData>
    <row r="1">
      <c r="A1" s="80" t="s">
        <v>7</v>
      </c>
      <c r="B1" s="5" t="s">
        <v>62</v>
      </c>
      <c r="C1" s="8" t="s">
        <v>48</v>
      </c>
      <c r="D1" s="9"/>
      <c r="E1" s="9"/>
      <c r="F1" s="9"/>
    </row>
    <row r="2">
      <c r="A2" s="65">
        <v>45372.0</v>
      </c>
      <c r="B2" s="5" t="s">
        <v>650</v>
      </c>
      <c r="C2" s="8">
        <v>6524.97</v>
      </c>
      <c r="D2" s="9"/>
      <c r="E2" s="66" t="s">
        <v>15</v>
      </c>
      <c r="F2" s="31">
        <f>sum(C2:C24)</f>
        <v>200850.02</v>
      </c>
    </row>
    <row r="3">
      <c r="A3" s="80">
        <v>45378.0</v>
      </c>
      <c r="B3" s="5" t="s">
        <v>651</v>
      </c>
      <c r="C3" s="8">
        <v>5931.79</v>
      </c>
      <c r="D3" s="9"/>
      <c r="E3" s="5" t="s">
        <v>652</v>
      </c>
      <c r="F3" s="7">
        <f>C26</f>
        <v>268177.22</v>
      </c>
    </row>
    <row r="4">
      <c r="A4" s="80">
        <v>45411.0</v>
      </c>
      <c r="B4" s="5" t="s">
        <v>651</v>
      </c>
      <c r="C4" s="8">
        <v>5931.79</v>
      </c>
      <c r="D4" s="9"/>
      <c r="E4" s="9"/>
      <c r="F4" s="9"/>
    </row>
    <row r="5">
      <c r="A5" s="80">
        <v>45440.0</v>
      </c>
      <c r="B5" s="5" t="s">
        <v>651</v>
      </c>
      <c r="C5" s="8">
        <v>5931.79</v>
      </c>
      <c r="D5" s="9"/>
      <c r="E5" s="9"/>
      <c r="F5" s="9"/>
    </row>
    <row r="6">
      <c r="A6" s="80">
        <v>45470.0</v>
      </c>
      <c r="B6" s="5" t="s">
        <v>651</v>
      </c>
      <c r="C6" s="8">
        <v>5931.79</v>
      </c>
      <c r="D6" s="9"/>
      <c r="E6" s="9"/>
      <c r="F6" s="9"/>
    </row>
    <row r="7">
      <c r="A7" s="80">
        <v>45502.0</v>
      </c>
      <c r="B7" s="5" t="s">
        <v>651</v>
      </c>
      <c r="C7" s="8">
        <v>5931.79</v>
      </c>
      <c r="D7" s="9"/>
      <c r="E7" s="9"/>
      <c r="F7" s="9"/>
    </row>
    <row r="8">
      <c r="A8" s="80">
        <v>45531.0</v>
      </c>
      <c r="B8" s="5" t="s">
        <v>651</v>
      </c>
      <c r="C8" s="8">
        <v>5931.79</v>
      </c>
    </row>
    <row r="9">
      <c r="A9" s="80">
        <v>45562.0</v>
      </c>
      <c r="B9" s="5" t="s">
        <v>651</v>
      </c>
      <c r="C9" s="8">
        <v>6179.88</v>
      </c>
    </row>
    <row r="10">
      <c r="A10" s="80">
        <v>45593.0</v>
      </c>
      <c r="B10" s="5" t="s">
        <v>651</v>
      </c>
      <c r="C10" s="8">
        <v>6969.63</v>
      </c>
      <c r="E10" s="83" t="s">
        <v>653</v>
      </c>
      <c r="F10" s="84"/>
      <c r="G10" s="85"/>
    </row>
    <row r="11">
      <c r="A11" s="80">
        <v>45623.0</v>
      </c>
      <c r="B11" s="5" t="s">
        <v>651</v>
      </c>
      <c r="C11" s="8">
        <v>8030.06</v>
      </c>
      <c r="E11" s="86" t="s">
        <v>654</v>
      </c>
      <c r="F11" s="86" t="s">
        <v>48</v>
      </c>
    </row>
    <row r="12">
      <c r="A12" s="80">
        <v>45653.0</v>
      </c>
      <c r="B12" s="5" t="s">
        <v>651</v>
      </c>
      <c r="C12" s="8">
        <v>8179.71</v>
      </c>
      <c r="E12" s="83" t="s">
        <v>655</v>
      </c>
      <c r="F12" s="87">
        <v>88527.0</v>
      </c>
    </row>
    <row r="13">
      <c r="A13" s="80">
        <v>45684.0</v>
      </c>
      <c r="B13" s="5" t="s">
        <v>651</v>
      </c>
      <c r="C13" s="8">
        <v>8179.71</v>
      </c>
      <c r="E13" s="83" t="s">
        <v>656</v>
      </c>
      <c r="F13" s="88">
        <v>165600.53</v>
      </c>
    </row>
    <row r="14">
      <c r="A14" s="80">
        <v>45715.0</v>
      </c>
      <c r="B14" s="5" t="s">
        <v>651</v>
      </c>
      <c r="C14" s="8">
        <v>8873.04</v>
      </c>
      <c r="E14" s="83" t="s">
        <v>657</v>
      </c>
      <c r="F14" s="88">
        <v>14049.69</v>
      </c>
    </row>
    <row r="15">
      <c r="A15" s="80">
        <v>45743.0</v>
      </c>
      <c r="B15" s="5" t="s">
        <v>651</v>
      </c>
      <c r="C15" s="8">
        <v>9483.68</v>
      </c>
      <c r="E15" s="84"/>
      <c r="F15" s="84"/>
    </row>
    <row r="16">
      <c r="A16" s="80">
        <v>45775.0</v>
      </c>
      <c r="B16" s="5" t="s">
        <v>651</v>
      </c>
      <c r="C16" s="8">
        <v>10957.38</v>
      </c>
      <c r="E16" s="83" t="s">
        <v>658</v>
      </c>
      <c r="F16" s="84"/>
    </row>
    <row r="17">
      <c r="A17" s="80">
        <v>45804.0</v>
      </c>
      <c r="B17" s="5" t="s">
        <v>651</v>
      </c>
      <c r="C17" s="8">
        <v>11394.43</v>
      </c>
      <c r="E17" s="84"/>
      <c r="F17" s="84"/>
    </row>
    <row r="18">
      <c r="A18" s="80">
        <v>45835.0</v>
      </c>
      <c r="B18" s="5" t="s">
        <v>651</v>
      </c>
      <c r="C18" s="8">
        <v>11652.77</v>
      </c>
      <c r="E18" s="88">
        <v>268177.22</v>
      </c>
      <c r="F18" s="84"/>
    </row>
    <row r="19">
      <c r="A19" s="80">
        <v>45852.0</v>
      </c>
      <c r="B19" s="5" t="s">
        <v>651</v>
      </c>
      <c r="C19" s="8">
        <v>5756.5</v>
      </c>
    </row>
    <row r="20">
      <c r="A20" s="80">
        <v>45887.0</v>
      </c>
      <c r="B20" s="5" t="s">
        <v>651</v>
      </c>
      <c r="C20" s="8">
        <v>11923.44</v>
      </c>
    </row>
    <row r="21">
      <c r="A21" s="80">
        <v>45887.0</v>
      </c>
      <c r="B21" s="5" t="s">
        <v>651</v>
      </c>
      <c r="C21" s="8">
        <v>11923.44</v>
      </c>
    </row>
    <row r="22">
      <c r="A22" s="80">
        <v>45896.0</v>
      </c>
      <c r="B22" s="5" t="s">
        <v>651</v>
      </c>
      <c r="C22" s="8">
        <v>12506.54</v>
      </c>
    </row>
    <row r="23">
      <c r="A23" s="80">
        <v>45929.0</v>
      </c>
      <c r="B23" s="5" t="s">
        <v>651</v>
      </c>
      <c r="C23" s="8">
        <v>13102.23</v>
      </c>
    </row>
    <row r="24">
      <c r="A24" s="80">
        <v>45980.0</v>
      </c>
      <c r="B24" s="5" t="s">
        <v>651</v>
      </c>
      <c r="C24" s="8">
        <v>13621.87</v>
      </c>
    </row>
    <row r="25">
      <c r="A25" s="81"/>
      <c r="B25" s="9"/>
      <c r="C25" s="7"/>
    </row>
    <row r="26">
      <c r="A26" s="81"/>
      <c r="B26" s="89" t="s">
        <v>659</v>
      </c>
      <c r="C26" s="90">
        <v>268177.22</v>
      </c>
    </row>
    <row r="27">
      <c r="A27" s="82"/>
      <c r="C27" s="2"/>
    </row>
    <row r="28">
      <c r="A28" s="82"/>
      <c r="C28" s="2"/>
    </row>
    <row r="29">
      <c r="A29" s="82"/>
      <c r="C29" s="2"/>
    </row>
    <row r="30">
      <c r="A30" s="82"/>
      <c r="C30" s="2"/>
    </row>
    <row r="31">
      <c r="A31" s="82"/>
      <c r="C31" s="2"/>
    </row>
    <row r="32">
      <c r="A32" s="82"/>
      <c r="C32" s="2"/>
    </row>
    <row r="33">
      <c r="A33" s="82"/>
      <c r="C33" s="2"/>
    </row>
    <row r="34">
      <c r="A34" s="82"/>
      <c r="C34" s="2"/>
    </row>
    <row r="35">
      <c r="A35" s="82"/>
      <c r="C35" s="2"/>
    </row>
    <row r="36">
      <c r="A36" s="82"/>
      <c r="C36" s="2"/>
    </row>
    <row r="37">
      <c r="A37" s="82"/>
      <c r="C37" s="2"/>
    </row>
    <row r="38">
      <c r="A38" s="82"/>
      <c r="C38" s="2"/>
    </row>
    <row r="39">
      <c r="A39" s="82"/>
      <c r="C39" s="2"/>
    </row>
    <row r="40">
      <c r="A40" s="82"/>
      <c r="C40" s="2"/>
    </row>
    <row r="41">
      <c r="A41" s="82"/>
      <c r="C41" s="2"/>
    </row>
    <row r="42">
      <c r="A42" s="82"/>
      <c r="C42" s="2"/>
    </row>
    <row r="43">
      <c r="A43" s="82"/>
      <c r="C43" s="2"/>
    </row>
    <row r="44">
      <c r="A44" s="82"/>
      <c r="C44" s="2"/>
    </row>
    <row r="45">
      <c r="A45" s="82"/>
      <c r="C45" s="2"/>
    </row>
    <row r="46">
      <c r="A46" s="82"/>
      <c r="C46" s="2"/>
    </row>
    <row r="47">
      <c r="A47" s="82"/>
      <c r="C47" s="2"/>
    </row>
    <row r="48">
      <c r="A48" s="82"/>
      <c r="C48" s="2"/>
    </row>
    <row r="49">
      <c r="A49" s="82"/>
      <c r="C49" s="2"/>
    </row>
    <row r="50">
      <c r="A50" s="82"/>
      <c r="C50" s="2"/>
    </row>
    <row r="51">
      <c r="A51" s="82"/>
      <c r="C51" s="2"/>
    </row>
    <row r="52">
      <c r="A52" s="82"/>
      <c r="C52" s="2"/>
    </row>
    <row r="53">
      <c r="A53" s="82"/>
      <c r="C53" s="2"/>
    </row>
    <row r="54">
      <c r="A54" s="82"/>
      <c r="C54" s="2"/>
    </row>
    <row r="55">
      <c r="A55" s="82"/>
      <c r="C55" s="2"/>
    </row>
    <row r="56">
      <c r="A56" s="82"/>
      <c r="C56" s="2"/>
    </row>
    <row r="57">
      <c r="A57" s="82"/>
      <c r="C57" s="2"/>
    </row>
    <row r="58">
      <c r="A58" s="82"/>
      <c r="C58" s="2"/>
    </row>
    <row r="59">
      <c r="A59" s="82"/>
      <c r="C59" s="2"/>
    </row>
    <row r="60">
      <c r="A60" s="82"/>
      <c r="C60" s="2"/>
    </row>
    <row r="61">
      <c r="A61" s="82"/>
      <c r="C61" s="2"/>
    </row>
    <row r="62">
      <c r="A62" s="82"/>
      <c r="C62" s="2"/>
    </row>
    <row r="63">
      <c r="A63" s="82"/>
      <c r="C63" s="2"/>
    </row>
    <row r="64">
      <c r="A64" s="82"/>
      <c r="C64" s="2"/>
    </row>
    <row r="65">
      <c r="A65" s="82"/>
      <c r="C65" s="2"/>
    </row>
    <row r="66">
      <c r="A66" s="82"/>
      <c r="C66" s="2"/>
    </row>
    <row r="67">
      <c r="A67" s="82"/>
      <c r="C67" s="2"/>
    </row>
    <row r="68">
      <c r="A68" s="82"/>
      <c r="C68" s="2"/>
    </row>
    <row r="69">
      <c r="A69" s="82"/>
      <c r="C69" s="2"/>
    </row>
    <row r="70">
      <c r="A70" s="82"/>
      <c r="C70" s="2"/>
    </row>
    <row r="71">
      <c r="A71" s="82"/>
      <c r="C71" s="2"/>
    </row>
    <row r="72">
      <c r="A72" s="82"/>
      <c r="C72" s="2"/>
    </row>
    <row r="73">
      <c r="A73" s="82"/>
      <c r="C73" s="2"/>
    </row>
    <row r="74">
      <c r="A74" s="82"/>
      <c r="C74" s="2"/>
    </row>
    <row r="75">
      <c r="A75" s="82"/>
      <c r="C75" s="2"/>
    </row>
    <row r="76">
      <c r="A76" s="82"/>
      <c r="C76" s="2"/>
    </row>
    <row r="77">
      <c r="A77" s="82"/>
      <c r="C77" s="2"/>
    </row>
    <row r="78">
      <c r="A78" s="82"/>
      <c r="C78" s="2"/>
    </row>
    <row r="79">
      <c r="A79" s="82"/>
      <c r="C79" s="2"/>
    </row>
    <row r="80">
      <c r="A80" s="82"/>
      <c r="C80" s="2"/>
    </row>
    <row r="81">
      <c r="A81" s="82"/>
      <c r="C81" s="2"/>
    </row>
    <row r="82">
      <c r="A82" s="82"/>
      <c r="C82" s="2"/>
    </row>
    <row r="83">
      <c r="A83" s="82"/>
      <c r="C83" s="2"/>
    </row>
    <row r="84">
      <c r="A84" s="82"/>
      <c r="C84" s="2"/>
    </row>
    <row r="85">
      <c r="A85" s="82"/>
      <c r="C85" s="2"/>
    </row>
    <row r="86">
      <c r="A86" s="82"/>
      <c r="C86" s="2"/>
    </row>
    <row r="87">
      <c r="A87" s="82"/>
      <c r="C87" s="2"/>
    </row>
    <row r="88">
      <c r="A88" s="82"/>
      <c r="C88" s="2"/>
    </row>
    <row r="89">
      <c r="A89" s="82"/>
      <c r="C89" s="2"/>
    </row>
    <row r="90">
      <c r="A90" s="82"/>
      <c r="C90" s="2"/>
    </row>
    <row r="91">
      <c r="A91" s="82"/>
      <c r="C91" s="2"/>
    </row>
    <row r="92">
      <c r="A92" s="82"/>
      <c r="C92" s="2"/>
    </row>
    <row r="93">
      <c r="A93" s="82"/>
      <c r="C93" s="2"/>
    </row>
    <row r="94">
      <c r="A94" s="82"/>
      <c r="C94" s="2"/>
    </row>
    <row r="95">
      <c r="A95" s="82"/>
      <c r="C95" s="2"/>
    </row>
    <row r="96">
      <c r="A96" s="82"/>
      <c r="C96" s="2"/>
    </row>
    <row r="97">
      <c r="A97" s="82"/>
      <c r="C97" s="2"/>
    </row>
    <row r="98">
      <c r="A98" s="82"/>
      <c r="C98" s="2"/>
    </row>
    <row r="99">
      <c r="A99" s="82"/>
      <c r="C99" s="2"/>
    </row>
    <row r="100">
      <c r="A100" s="82"/>
      <c r="C100" s="2"/>
    </row>
    <row r="101">
      <c r="A101" s="82"/>
      <c r="C101" s="2"/>
    </row>
    <row r="102">
      <c r="A102" s="82"/>
      <c r="C102" s="2"/>
    </row>
    <row r="103">
      <c r="A103" s="82"/>
      <c r="C103" s="2"/>
    </row>
    <row r="104">
      <c r="A104" s="82"/>
      <c r="C104" s="2"/>
    </row>
    <row r="105">
      <c r="A105" s="82"/>
      <c r="C105" s="2"/>
    </row>
    <row r="106">
      <c r="A106" s="82"/>
      <c r="C106" s="2"/>
    </row>
    <row r="107">
      <c r="A107" s="82"/>
      <c r="C107" s="2"/>
    </row>
    <row r="108">
      <c r="A108" s="82"/>
      <c r="C108" s="2"/>
    </row>
    <row r="109">
      <c r="A109" s="82"/>
      <c r="C109" s="2"/>
    </row>
    <row r="110">
      <c r="A110" s="82"/>
      <c r="C110" s="2"/>
    </row>
    <row r="111">
      <c r="A111" s="82"/>
      <c r="C111" s="2"/>
    </row>
    <row r="112">
      <c r="A112" s="82"/>
      <c r="C112" s="2"/>
    </row>
    <row r="113">
      <c r="A113" s="82"/>
      <c r="C113" s="2"/>
    </row>
    <row r="114">
      <c r="A114" s="82"/>
      <c r="C114" s="2"/>
    </row>
    <row r="115">
      <c r="A115" s="82"/>
      <c r="C115" s="2"/>
    </row>
    <row r="116">
      <c r="A116" s="82"/>
      <c r="C116" s="2"/>
    </row>
    <row r="117">
      <c r="A117" s="82"/>
      <c r="C117" s="2"/>
    </row>
    <row r="118">
      <c r="A118" s="82"/>
      <c r="C118" s="2"/>
    </row>
    <row r="119">
      <c r="A119" s="82"/>
      <c r="C119" s="2"/>
    </row>
    <row r="120">
      <c r="A120" s="82"/>
      <c r="C120" s="2"/>
    </row>
    <row r="121">
      <c r="A121" s="82"/>
      <c r="C121" s="2"/>
    </row>
    <row r="122">
      <c r="A122" s="82"/>
      <c r="C122" s="2"/>
    </row>
    <row r="123">
      <c r="A123" s="82"/>
      <c r="C123" s="2"/>
    </row>
    <row r="124">
      <c r="A124" s="82"/>
      <c r="C124" s="2"/>
    </row>
    <row r="125">
      <c r="A125" s="82"/>
      <c r="C125" s="2"/>
    </row>
    <row r="126">
      <c r="A126" s="82"/>
      <c r="C126" s="2"/>
    </row>
    <row r="127">
      <c r="A127" s="82"/>
      <c r="C127" s="2"/>
    </row>
    <row r="128">
      <c r="A128" s="82"/>
      <c r="C128" s="2"/>
    </row>
    <row r="129">
      <c r="A129" s="82"/>
      <c r="C129" s="2"/>
    </row>
    <row r="130">
      <c r="A130" s="82"/>
      <c r="C130" s="2"/>
    </row>
    <row r="131">
      <c r="A131" s="82"/>
      <c r="C131" s="2"/>
    </row>
    <row r="132">
      <c r="A132" s="82"/>
      <c r="C132" s="2"/>
    </row>
    <row r="133">
      <c r="A133" s="82"/>
      <c r="C133" s="2"/>
    </row>
    <row r="134">
      <c r="A134" s="82"/>
      <c r="C134" s="2"/>
    </row>
    <row r="135">
      <c r="A135" s="82"/>
      <c r="C135" s="2"/>
    </row>
    <row r="136">
      <c r="A136" s="82"/>
      <c r="C136" s="2"/>
    </row>
    <row r="137">
      <c r="A137" s="82"/>
      <c r="C137" s="2"/>
    </row>
    <row r="138">
      <c r="A138" s="82"/>
      <c r="C138" s="2"/>
    </row>
    <row r="139">
      <c r="A139" s="82"/>
      <c r="C139" s="2"/>
    </row>
    <row r="140">
      <c r="A140" s="82"/>
      <c r="C140" s="2"/>
    </row>
    <row r="141">
      <c r="A141" s="82"/>
      <c r="C141" s="2"/>
    </row>
    <row r="142">
      <c r="A142" s="82"/>
      <c r="C142" s="2"/>
    </row>
    <row r="143">
      <c r="A143" s="82"/>
      <c r="C143" s="2"/>
    </row>
    <row r="144">
      <c r="A144" s="82"/>
      <c r="C144" s="2"/>
    </row>
    <row r="145">
      <c r="A145" s="82"/>
      <c r="C145" s="2"/>
    </row>
    <row r="146">
      <c r="A146" s="82"/>
      <c r="C146" s="2"/>
    </row>
    <row r="147">
      <c r="A147" s="82"/>
      <c r="C147" s="2"/>
    </row>
    <row r="148">
      <c r="A148" s="82"/>
      <c r="C148" s="2"/>
    </row>
    <row r="149">
      <c r="A149" s="82"/>
      <c r="C149" s="2"/>
    </row>
    <row r="150">
      <c r="A150" s="82"/>
      <c r="C150" s="2"/>
    </row>
    <row r="151">
      <c r="A151" s="82"/>
      <c r="C151" s="2"/>
    </row>
    <row r="152">
      <c r="A152" s="82"/>
      <c r="C152" s="2"/>
    </row>
    <row r="153">
      <c r="A153" s="82"/>
      <c r="C153" s="2"/>
    </row>
    <row r="154">
      <c r="A154" s="82"/>
      <c r="C154" s="2"/>
    </row>
    <row r="155">
      <c r="A155" s="82"/>
      <c r="C155" s="2"/>
    </row>
    <row r="156">
      <c r="A156" s="82"/>
      <c r="C156" s="2"/>
    </row>
    <row r="157">
      <c r="A157" s="82"/>
      <c r="C157" s="2"/>
    </row>
    <row r="158">
      <c r="A158" s="82"/>
      <c r="C158" s="2"/>
    </row>
    <row r="159">
      <c r="A159" s="82"/>
      <c r="C159" s="2"/>
    </row>
    <row r="160">
      <c r="A160" s="82"/>
      <c r="C160" s="2"/>
    </row>
    <row r="161">
      <c r="A161" s="82"/>
      <c r="C161" s="2"/>
    </row>
    <row r="162">
      <c r="A162" s="82"/>
      <c r="C162" s="2"/>
    </row>
    <row r="163">
      <c r="A163" s="82"/>
      <c r="C163" s="2"/>
    </row>
    <row r="164">
      <c r="A164" s="82"/>
      <c r="C164" s="2"/>
    </row>
    <row r="165">
      <c r="A165" s="82"/>
      <c r="C165" s="2"/>
    </row>
    <row r="166">
      <c r="A166" s="82"/>
      <c r="C166" s="2"/>
    </row>
    <row r="167">
      <c r="A167" s="82"/>
      <c r="C167" s="2"/>
    </row>
    <row r="168">
      <c r="A168" s="82"/>
      <c r="C168" s="2"/>
    </row>
    <row r="169">
      <c r="A169" s="82"/>
      <c r="C169" s="2"/>
    </row>
    <row r="170">
      <c r="A170" s="82"/>
      <c r="C170" s="2"/>
    </row>
    <row r="171">
      <c r="A171" s="82"/>
      <c r="C171" s="2"/>
    </row>
    <row r="172">
      <c r="A172" s="82"/>
      <c r="C172" s="2"/>
    </row>
    <row r="173">
      <c r="A173" s="82"/>
      <c r="C173" s="2"/>
    </row>
    <row r="174">
      <c r="A174" s="82"/>
      <c r="C174" s="2"/>
    </row>
    <row r="175">
      <c r="A175" s="82"/>
      <c r="C175" s="2"/>
    </row>
    <row r="176">
      <c r="A176" s="82"/>
      <c r="C176" s="2"/>
    </row>
    <row r="177">
      <c r="A177" s="82"/>
      <c r="C177" s="2"/>
    </row>
    <row r="178">
      <c r="A178" s="82"/>
      <c r="C178" s="2"/>
    </row>
    <row r="179">
      <c r="A179" s="82"/>
      <c r="C179" s="2"/>
    </row>
    <row r="180">
      <c r="A180" s="82"/>
      <c r="C180" s="2"/>
    </row>
    <row r="181">
      <c r="A181" s="82"/>
      <c r="C181" s="2"/>
    </row>
    <row r="182">
      <c r="A182" s="82"/>
      <c r="C182" s="2"/>
    </row>
    <row r="183">
      <c r="A183" s="82"/>
      <c r="C183" s="2"/>
    </row>
    <row r="184">
      <c r="A184" s="82"/>
      <c r="C184" s="2"/>
    </row>
    <row r="185">
      <c r="A185" s="82"/>
      <c r="C185" s="2"/>
    </row>
    <row r="186">
      <c r="A186" s="82"/>
      <c r="C186" s="2"/>
    </row>
    <row r="187">
      <c r="A187" s="82"/>
      <c r="C187" s="2"/>
    </row>
    <row r="188">
      <c r="A188" s="82"/>
      <c r="C188" s="2"/>
    </row>
    <row r="189">
      <c r="A189" s="82"/>
      <c r="C189" s="2"/>
    </row>
    <row r="190">
      <c r="A190" s="82"/>
      <c r="C190" s="2"/>
    </row>
    <row r="191">
      <c r="A191" s="82"/>
      <c r="C191" s="2"/>
    </row>
    <row r="192">
      <c r="A192" s="82"/>
      <c r="C192" s="2"/>
    </row>
    <row r="193">
      <c r="A193" s="82"/>
      <c r="C193" s="2"/>
    </row>
    <row r="194">
      <c r="A194" s="82"/>
      <c r="C194" s="2"/>
    </row>
    <row r="195">
      <c r="A195" s="82"/>
      <c r="C195" s="2"/>
    </row>
    <row r="196">
      <c r="A196" s="82"/>
      <c r="C196" s="2"/>
    </row>
    <row r="197">
      <c r="A197" s="82"/>
      <c r="C197" s="2"/>
    </row>
    <row r="198">
      <c r="A198" s="82"/>
      <c r="C198" s="2"/>
    </row>
    <row r="199">
      <c r="A199" s="82"/>
      <c r="C199" s="2"/>
    </row>
    <row r="200">
      <c r="A200" s="82"/>
      <c r="C200" s="2"/>
    </row>
    <row r="201">
      <c r="A201" s="82"/>
      <c r="C201" s="2"/>
    </row>
    <row r="202">
      <c r="A202" s="82"/>
      <c r="C202" s="2"/>
    </row>
    <row r="203">
      <c r="A203" s="82"/>
      <c r="C203" s="2"/>
    </row>
    <row r="204">
      <c r="A204" s="82"/>
      <c r="C204" s="2"/>
    </row>
    <row r="205">
      <c r="A205" s="82"/>
      <c r="C205" s="2"/>
    </row>
    <row r="206">
      <c r="A206" s="82"/>
      <c r="C206" s="2"/>
    </row>
    <row r="207">
      <c r="A207" s="82"/>
      <c r="C207" s="2"/>
    </row>
    <row r="208">
      <c r="A208" s="82"/>
      <c r="C208" s="2"/>
    </row>
    <row r="209">
      <c r="A209" s="82"/>
      <c r="C209" s="2"/>
    </row>
    <row r="210">
      <c r="A210" s="82"/>
      <c r="C210" s="2"/>
    </row>
    <row r="211">
      <c r="A211" s="82"/>
      <c r="C211" s="2"/>
    </row>
    <row r="212">
      <c r="A212" s="82"/>
      <c r="C212" s="2"/>
    </row>
    <row r="213">
      <c r="A213" s="82"/>
      <c r="C213" s="2"/>
    </row>
    <row r="214">
      <c r="A214" s="82"/>
      <c r="C214" s="2"/>
    </row>
    <row r="215">
      <c r="A215" s="82"/>
      <c r="C215" s="2"/>
    </row>
    <row r="216">
      <c r="A216" s="82"/>
      <c r="C216" s="2"/>
    </row>
    <row r="217">
      <c r="A217" s="82"/>
      <c r="C217" s="2"/>
    </row>
    <row r="218">
      <c r="A218" s="82"/>
      <c r="C218" s="2"/>
    </row>
    <row r="219">
      <c r="A219" s="82"/>
      <c r="C219" s="2"/>
    </row>
    <row r="220">
      <c r="A220" s="82"/>
      <c r="C220" s="2"/>
    </row>
    <row r="221">
      <c r="A221" s="82"/>
      <c r="C221" s="2"/>
    </row>
    <row r="222">
      <c r="A222" s="82"/>
      <c r="C222" s="2"/>
    </row>
    <row r="223">
      <c r="A223" s="82"/>
      <c r="C223" s="2"/>
    </row>
    <row r="224">
      <c r="A224" s="82"/>
      <c r="C224" s="2"/>
    </row>
    <row r="225">
      <c r="A225" s="82"/>
      <c r="C225" s="2"/>
    </row>
    <row r="226">
      <c r="A226" s="82"/>
      <c r="C226" s="2"/>
    </row>
    <row r="227">
      <c r="A227" s="82"/>
      <c r="C227" s="2"/>
    </row>
    <row r="228">
      <c r="A228" s="82"/>
      <c r="C228" s="2"/>
    </row>
    <row r="229">
      <c r="A229" s="82"/>
      <c r="C229" s="2"/>
    </row>
    <row r="230">
      <c r="A230" s="82"/>
      <c r="C230" s="2"/>
    </row>
    <row r="231">
      <c r="A231" s="82"/>
      <c r="C231" s="2"/>
    </row>
    <row r="232">
      <c r="A232" s="82"/>
      <c r="C232" s="2"/>
    </row>
    <row r="233">
      <c r="A233" s="82"/>
      <c r="C233" s="2"/>
    </row>
    <row r="234">
      <c r="A234" s="82"/>
      <c r="C234" s="2"/>
    </row>
    <row r="235">
      <c r="A235" s="82"/>
      <c r="C235" s="2"/>
    </row>
    <row r="236">
      <c r="A236" s="82"/>
      <c r="C236" s="2"/>
    </row>
    <row r="237">
      <c r="A237" s="82"/>
      <c r="C237" s="2"/>
    </row>
    <row r="238">
      <c r="A238" s="82"/>
      <c r="C238" s="2"/>
    </row>
    <row r="239">
      <c r="A239" s="82"/>
      <c r="C239" s="2"/>
    </row>
    <row r="240">
      <c r="A240" s="82"/>
      <c r="C240" s="2"/>
    </row>
    <row r="241">
      <c r="A241" s="82"/>
      <c r="C241" s="2"/>
    </row>
    <row r="242">
      <c r="A242" s="82"/>
      <c r="C242" s="2"/>
    </row>
    <row r="243">
      <c r="A243" s="82"/>
      <c r="C243" s="2"/>
    </row>
    <row r="244">
      <c r="A244" s="82"/>
      <c r="C244" s="2"/>
    </row>
    <row r="245">
      <c r="A245" s="82"/>
      <c r="C245" s="2"/>
    </row>
    <row r="246">
      <c r="A246" s="82"/>
      <c r="C246" s="2"/>
    </row>
    <row r="247">
      <c r="A247" s="82"/>
      <c r="C247" s="2"/>
    </row>
    <row r="248">
      <c r="A248" s="82"/>
      <c r="C248" s="2"/>
    </row>
    <row r="249">
      <c r="A249" s="82"/>
      <c r="C249" s="2"/>
    </row>
    <row r="250">
      <c r="A250" s="82"/>
      <c r="C250" s="2"/>
    </row>
    <row r="251">
      <c r="A251" s="82"/>
      <c r="C251" s="2"/>
    </row>
    <row r="252">
      <c r="A252" s="82"/>
      <c r="C252" s="2"/>
    </row>
    <row r="253">
      <c r="A253" s="82"/>
      <c r="C253" s="2"/>
    </row>
    <row r="254">
      <c r="A254" s="82"/>
      <c r="C254" s="2"/>
    </row>
    <row r="255">
      <c r="A255" s="82"/>
      <c r="C255" s="2"/>
    </row>
    <row r="256">
      <c r="A256" s="82"/>
      <c r="C256" s="2"/>
    </row>
    <row r="257">
      <c r="A257" s="82"/>
      <c r="C257" s="2"/>
    </row>
    <row r="258">
      <c r="A258" s="82"/>
      <c r="C258" s="2"/>
    </row>
    <row r="259">
      <c r="A259" s="82"/>
      <c r="C259" s="2"/>
    </row>
    <row r="260">
      <c r="A260" s="82"/>
      <c r="C260" s="2"/>
    </row>
    <row r="261">
      <c r="A261" s="82"/>
      <c r="C261" s="2"/>
    </row>
    <row r="262">
      <c r="A262" s="82"/>
      <c r="C262" s="2"/>
    </row>
    <row r="263">
      <c r="A263" s="82"/>
      <c r="C263" s="2"/>
    </row>
    <row r="264">
      <c r="A264" s="82"/>
      <c r="C264" s="2"/>
    </row>
    <row r="265">
      <c r="A265" s="82"/>
      <c r="C265" s="2"/>
    </row>
    <row r="266">
      <c r="A266" s="82"/>
      <c r="C266" s="2"/>
    </row>
    <row r="267">
      <c r="A267" s="82"/>
      <c r="C267" s="2"/>
    </row>
    <row r="268">
      <c r="A268" s="82"/>
      <c r="C268" s="2"/>
    </row>
    <row r="269">
      <c r="A269" s="82"/>
      <c r="C269" s="2"/>
    </row>
    <row r="270">
      <c r="A270" s="82"/>
      <c r="C270" s="2"/>
    </row>
    <row r="271">
      <c r="A271" s="82"/>
      <c r="C271" s="2"/>
    </row>
    <row r="272">
      <c r="A272" s="82"/>
      <c r="C272" s="2"/>
    </row>
    <row r="273">
      <c r="A273" s="82"/>
      <c r="C273" s="2"/>
    </row>
    <row r="274">
      <c r="A274" s="82"/>
      <c r="C274" s="2"/>
    </row>
    <row r="275">
      <c r="A275" s="82"/>
      <c r="C275" s="2"/>
    </row>
    <row r="276">
      <c r="A276" s="82"/>
      <c r="C276" s="2"/>
    </row>
    <row r="277">
      <c r="A277" s="82"/>
      <c r="C277" s="2"/>
    </row>
    <row r="278">
      <c r="A278" s="82"/>
      <c r="C278" s="2"/>
    </row>
    <row r="279">
      <c r="A279" s="82"/>
      <c r="C279" s="2"/>
    </row>
    <row r="280">
      <c r="A280" s="82"/>
      <c r="C280" s="2"/>
    </row>
    <row r="281">
      <c r="A281" s="82"/>
      <c r="C281" s="2"/>
    </row>
    <row r="282">
      <c r="A282" s="82"/>
      <c r="C282" s="2"/>
    </row>
    <row r="283">
      <c r="A283" s="82"/>
      <c r="C283" s="2"/>
    </row>
    <row r="284">
      <c r="A284" s="82"/>
      <c r="C284" s="2"/>
    </row>
    <row r="285">
      <c r="A285" s="82"/>
      <c r="C285" s="2"/>
    </row>
    <row r="286">
      <c r="A286" s="82"/>
      <c r="C286" s="2"/>
    </row>
    <row r="287">
      <c r="A287" s="82"/>
      <c r="C287" s="2"/>
    </row>
    <row r="288">
      <c r="A288" s="82"/>
      <c r="C288" s="2"/>
    </row>
    <row r="289">
      <c r="A289" s="82"/>
      <c r="C289" s="2"/>
    </row>
    <row r="290">
      <c r="A290" s="82"/>
      <c r="C290" s="2"/>
    </row>
    <row r="291">
      <c r="A291" s="82"/>
      <c r="C291" s="2"/>
    </row>
    <row r="292">
      <c r="A292" s="82"/>
      <c r="C292" s="2"/>
    </row>
    <row r="293">
      <c r="A293" s="82"/>
      <c r="C293" s="2"/>
    </row>
    <row r="294">
      <c r="A294" s="82"/>
      <c r="C294" s="2"/>
    </row>
    <row r="295">
      <c r="A295" s="82"/>
      <c r="C295" s="2"/>
    </row>
    <row r="296">
      <c r="A296" s="82"/>
      <c r="C296" s="2"/>
    </row>
    <row r="297">
      <c r="A297" s="82"/>
      <c r="C297" s="2"/>
    </row>
    <row r="298">
      <c r="A298" s="82"/>
      <c r="C298" s="2"/>
    </row>
    <row r="299">
      <c r="A299" s="82"/>
      <c r="C299" s="2"/>
    </row>
    <row r="300">
      <c r="A300" s="82"/>
      <c r="C300" s="2"/>
    </row>
    <row r="301">
      <c r="A301" s="82"/>
      <c r="C301" s="2"/>
    </row>
    <row r="302">
      <c r="A302" s="82"/>
      <c r="C302" s="2"/>
    </row>
    <row r="303">
      <c r="A303" s="82"/>
      <c r="C303" s="2"/>
    </row>
    <row r="304">
      <c r="A304" s="82"/>
      <c r="C304" s="2"/>
    </row>
    <row r="305">
      <c r="A305" s="82"/>
      <c r="C305" s="2"/>
    </row>
    <row r="306">
      <c r="A306" s="82"/>
      <c r="C306" s="2"/>
    </row>
    <row r="307">
      <c r="A307" s="82"/>
      <c r="C307" s="2"/>
    </row>
    <row r="308">
      <c r="A308" s="82"/>
      <c r="C308" s="2"/>
    </row>
    <row r="309">
      <c r="A309" s="82"/>
      <c r="C309" s="2"/>
    </row>
    <row r="310">
      <c r="A310" s="82"/>
      <c r="C310" s="2"/>
    </row>
    <row r="311">
      <c r="A311" s="82"/>
      <c r="C311" s="2"/>
    </row>
    <row r="312">
      <c r="A312" s="82"/>
      <c r="C312" s="2"/>
    </row>
    <row r="313">
      <c r="A313" s="82"/>
      <c r="C313" s="2"/>
    </row>
    <row r="314">
      <c r="A314" s="82"/>
      <c r="C314" s="2"/>
    </row>
    <row r="315">
      <c r="A315" s="82"/>
      <c r="C315" s="2"/>
    </row>
    <row r="316">
      <c r="A316" s="82"/>
      <c r="C316" s="2"/>
    </row>
    <row r="317">
      <c r="A317" s="82"/>
      <c r="C317" s="2"/>
    </row>
    <row r="318">
      <c r="A318" s="82"/>
      <c r="C318" s="2"/>
    </row>
    <row r="319">
      <c r="A319" s="82"/>
      <c r="C319" s="2"/>
    </row>
    <row r="320">
      <c r="A320" s="82"/>
      <c r="C320" s="2"/>
    </row>
    <row r="321">
      <c r="A321" s="82"/>
      <c r="C321" s="2"/>
    </row>
    <row r="322">
      <c r="A322" s="82"/>
      <c r="C322" s="2"/>
    </row>
    <row r="323">
      <c r="A323" s="82"/>
      <c r="C323" s="2"/>
    </row>
    <row r="324">
      <c r="A324" s="82"/>
      <c r="C324" s="2"/>
    </row>
    <row r="325">
      <c r="A325" s="82"/>
      <c r="C325" s="2"/>
    </row>
    <row r="326">
      <c r="A326" s="82"/>
      <c r="C326" s="2"/>
    </row>
    <row r="327">
      <c r="A327" s="82"/>
      <c r="C327" s="2"/>
    </row>
    <row r="328">
      <c r="A328" s="82"/>
      <c r="C328" s="2"/>
    </row>
    <row r="329">
      <c r="A329" s="82"/>
      <c r="C329" s="2"/>
    </row>
    <row r="330">
      <c r="A330" s="82"/>
      <c r="C330" s="2"/>
    </row>
    <row r="331">
      <c r="A331" s="82"/>
      <c r="C331" s="2"/>
    </row>
    <row r="332">
      <c r="A332" s="82"/>
      <c r="C332" s="2"/>
    </row>
    <row r="333">
      <c r="A333" s="82"/>
      <c r="C333" s="2"/>
    </row>
    <row r="334">
      <c r="A334" s="82"/>
      <c r="C334" s="2"/>
    </row>
    <row r="335">
      <c r="A335" s="82"/>
      <c r="C335" s="2"/>
    </row>
    <row r="336">
      <c r="A336" s="82"/>
      <c r="C336" s="2"/>
    </row>
    <row r="337">
      <c r="A337" s="82"/>
      <c r="C337" s="2"/>
    </row>
    <row r="338">
      <c r="A338" s="82"/>
      <c r="C338" s="2"/>
    </row>
    <row r="339">
      <c r="A339" s="82"/>
      <c r="C339" s="2"/>
    </row>
    <row r="340">
      <c r="A340" s="82"/>
      <c r="C340" s="2"/>
    </row>
    <row r="341">
      <c r="A341" s="82"/>
      <c r="C341" s="2"/>
    </row>
    <row r="342">
      <c r="A342" s="82"/>
      <c r="C342" s="2"/>
    </row>
    <row r="343">
      <c r="A343" s="82"/>
      <c r="C343" s="2"/>
    </row>
    <row r="344">
      <c r="A344" s="82"/>
      <c r="C344" s="2"/>
    </row>
    <row r="345">
      <c r="A345" s="82"/>
      <c r="C345" s="2"/>
    </row>
    <row r="346">
      <c r="A346" s="82"/>
      <c r="C346" s="2"/>
    </row>
    <row r="347">
      <c r="A347" s="82"/>
      <c r="C347" s="2"/>
    </row>
    <row r="348">
      <c r="A348" s="82"/>
      <c r="C348" s="2"/>
    </row>
    <row r="349">
      <c r="A349" s="82"/>
      <c r="C349" s="2"/>
    </row>
    <row r="350">
      <c r="A350" s="82"/>
      <c r="C350" s="2"/>
    </row>
    <row r="351">
      <c r="A351" s="82"/>
      <c r="C351" s="2"/>
    </row>
    <row r="352">
      <c r="A352" s="82"/>
      <c r="C352" s="2"/>
    </row>
    <row r="353">
      <c r="A353" s="82"/>
      <c r="C353" s="2"/>
    </row>
    <row r="354">
      <c r="A354" s="82"/>
      <c r="C354" s="2"/>
    </row>
    <row r="355">
      <c r="A355" s="82"/>
      <c r="C355" s="2"/>
    </row>
    <row r="356">
      <c r="A356" s="82"/>
      <c r="C356" s="2"/>
    </row>
    <row r="357">
      <c r="A357" s="82"/>
      <c r="C357" s="2"/>
    </row>
    <row r="358">
      <c r="A358" s="82"/>
      <c r="C358" s="2"/>
    </row>
    <row r="359">
      <c r="A359" s="82"/>
      <c r="C359" s="2"/>
    </row>
    <row r="360">
      <c r="A360" s="82"/>
      <c r="C360" s="2"/>
    </row>
    <row r="361">
      <c r="A361" s="82"/>
      <c r="C361" s="2"/>
    </row>
    <row r="362">
      <c r="A362" s="82"/>
      <c r="C362" s="2"/>
    </row>
    <row r="363">
      <c r="A363" s="82"/>
      <c r="C363" s="2"/>
    </row>
    <row r="364">
      <c r="A364" s="82"/>
      <c r="C364" s="2"/>
    </row>
    <row r="365">
      <c r="A365" s="82"/>
      <c r="C365" s="2"/>
    </row>
    <row r="366">
      <c r="A366" s="82"/>
      <c r="C366" s="2"/>
    </row>
    <row r="367">
      <c r="A367" s="82"/>
      <c r="C367" s="2"/>
    </row>
    <row r="368">
      <c r="A368" s="82"/>
      <c r="C368" s="2"/>
    </row>
    <row r="369">
      <c r="A369" s="82"/>
      <c r="C369" s="2"/>
    </row>
    <row r="370">
      <c r="A370" s="82"/>
      <c r="C370" s="2"/>
    </row>
    <row r="371">
      <c r="A371" s="82"/>
      <c r="C371" s="2"/>
    </row>
    <row r="372">
      <c r="A372" s="82"/>
      <c r="C372" s="2"/>
    </row>
    <row r="373">
      <c r="A373" s="82"/>
      <c r="C373" s="2"/>
    </row>
    <row r="374">
      <c r="A374" s="82"/>
      <c r="C374" s="2"/>
    </row>
    <row r="375">
      <c r="A375" s="82"/>
      <c r="C375" s="2"/>
    </row>
    <row r="376">
      <c r="A376" s="82"/>
      <c r="C376" s="2"/>
    </row>
    <row r="377">
      <c r="A377" s="82"/>
      <c r="C377" s="2"/>
    </row>
    <row r="378">
      <c r="A378" s="82"/>
      <c r="C378" s="2"/>
    </row>
    <row r="379">
      <c r="A379" s="82"/>
      <c r="C379" s="2"/>
    </row>
    <row r="380">
      <c r="A380" s="82"/>
      <c r="C380" s="2"/>
    </row>
    <row r="381">
      <c r="A381" s="82"/>
      <c r="C381" s="2"/>
    </row>
    <row r="382">
      <c r="A382" s="82"/>
      <c r="C382" s="2"/>
    </row>
    <row r="383">
      <c r="A383" s="82"/>
      <c r="C383" s="2"/>
    </row>
    <row r="384">
      <c r="A384" s="82"/>
      <c r="C384" s="2"/>
    </row>
    <row r="385">
      <c r="A385" s="82"/>
      <c r="C385" s="2"/>
    </row>
    <row r="386">
      <c r="A386" s="82"/>
      <c r="C386" s="2"/>
    </row>
    <row r="387">
      <c r="A387" s="82"/>
      <c r="C387" s="2"/>
    </row>
    <row r="388">
      <c r="A388" s="82"/>
      <c r="C388" s="2"/>
    </row>
    <row r="389">
      <c r="A389" s="82"/>
      <c r="C389" s="2"/>
    </row>
    <row r="390">
      <c r="A390" s="82"/>
      <c r="C390" s="2"/>
    </row>
    <row r="391">
      <c r="A391" s="82"/>
      <c r="C391" s="2"/>
    </row>
    <row r="392">
      <c r="A392" s="82"/>
      <c r="C392" s="2"/>
    </row>
    <row r="393">
      <c r="A393" s="82"/>
      <c r="C393" s="2"/>
    </row>
    <row r="394">
      <c r="A394" s="82"/>
      <c r="C394" s="2"/>
    </row>
    <row r="395">
      <c r="A395" s="82"/>
      <c r="C395" s="2"/>
    </row>
    <row r="396">
      <c r="A396" s="82"/>
      <c r="C396" s="2"/>
    </row>
    <row r="397">
      <c r="A397" s="82"/>
      <c r="C397" s="2"/>
    </row>
    <row r="398">
      <c r="A398" s="82"/>
      <c r="C398" s="2"/>
    </row>
    <row r="399">
      <c r="A399" s="82"/>
      <c r="C399" s="2"/>
    </row>
    <row r="400">
      <c r="A400" s="82"/>
      <c r="C400" s="2"/>
    </row>
    <row r="401">
      <c r="A401" s="82"/>
      <c r="C401" s="2"/>
    </row>
    <row r="402">
      <c r="A402" s="82"/>
      <c r="C402" s="2"/>
    </row>
    <row r="403">
      <c r="A403" s="82"/>
      <c r="C403" s="2"/>
    </row>
    <row r="404">
      <c r="A404" s="82"/>
      <c r="C404" s="2"/>
    </row>
    <row r="405">
      <c r="A405" s="82"/>
      <c r="C405" s="2"/>
    </row>
    <row r="406">
      <c r="A406" s="82"/>
      <c r="C406" s="2"/>
    </row>
    <row r="407">
      <c r="A407" s="82"/>
      <c r="C407" s="2"/>
    </row>
    <row r="408">
      <c r="A408" s="82"/>
      <c r="C408" s="2"/>
    </row>
    <row r="409">
      <c r="A409" s="82"/>
      <c r="C409" s="2"/>
    </row>
    <row r="410">
      <c r="A410" s="82"/>
      <c r="C410" s="2"/>
    </row>
    <row r="411">
      <c r="A411" s="82"/>
      <c r="C411" s="2"/>
    </row>
    <row r="412">
      <c r="A412" s="82"/>
      <c r="C412" s="2"/>
    </row>
    <row r="413">
      <c r="A413" s="82"/>
      <c r="C413" s="2"/>
    </row>
    <row r="414">
      <c r="A414" s="82"/>
      <c r="C414" s="2"/>
    </row>
    <row r="415">
      <c r="A415" s="82"/>
      <c r="C415" s="2"/>
    </row>
    <row r="416">
      <c r="A416" s="82"/>
      <c r="C416" s="2"/>
    </row>
    <row r="417">
      <c r="A417" s="82"/>
      <c r="C417" s="2"/>
    </row>
    <row r="418">
      <c r="A418" s="82"/>
      <c r="C418" s="2"/>
    </row>
    <row r="419">
      <c r="A419" s="82"/>
      <c r="C419" s="2"/>
    </row>
    <row r="420">
      <c r="A420" s="82"/>
      <c r="C420" s="2"/>
    </row>
    <row r="421">
      <c r="A421" s="82"/>
      <c r="C421" s="2"/>
    </row>
    <row r="422">
      <c r="A422" s="82"/>
      <c r="C422" s="2"/>
    </row>
    <row r="423">
      <c r="A423" s="82"/>
      <c r="C423" s="2"/>
    </row>
    <row r="424">
      <c r="A424" s="82"/>
      <c r="C424" s="2"/>
    </row>
    <row r="425">
      <c r="A425" s="82"/>
      <c r="C425" s="2"/>
    </row>
    <row r="426">
      <c r="A426" s="82"/>
      <c r="C426" s="2"/>
    </row>
    <row r="427">
      <c r="A427" s="82"/>
      <c r="C427" s="2"/>
    </row>
    <row r="428">
      <c r="A428" s="82"/>
      <c r="C428" s="2"/>
    </row>
    <row r="429">
      <c r="A429" s="82"/>
      <c r="C429" s="2"/>
    </row>
    <row r="430">
      <c r="A430" s="82"/>
      <c r="C430" s="2"/>
    </row>
    <row r="431">
      <c r="A431" s="82"/>
      <c r="C431" s="2"/>
    </row>
    <row r="432">
      <c r="A432" s="82"/>
      <c r="C432" s="2"/>
    </row>
    <row r="433">
      <c r="A433" s="82"/>
      <c r="C433" s="2"/>
    </row>
    <row r="434">
      <c r="A434" s="82"/>
      <c r="C434" s="2"/>
    </row>
    <row r="435">
      <c r="A435" s="82"/>
      <c r="C435" s="2"/>
    </row>
    <row r="436">
      <c r="A436" s="82"/>
      <c r="C436" s="2"/>
    </row>
    <row r="437">
      <c r="A437" s="82"/>
      <c r="C437" s="2"/>
    </row>
    <row r="438">
      <c r="A438" s="82"/>
      <c r="C438" s="2"/>
    </row>
    <row r="439">
      <c r="A439" s="82"/>
      <c r="C439" s="2"/>
    </row>
    <row r="440">
      <c r="A440" s="82"/>
      <c r="C440" s="2"/>
    </row>
    <row r="441">
      <c r="A441" s="82"/>
      <c r="C441" s="2"/>
    </row>
    <row r="442">
      <c r="A442" s="82"/>
      <c r="C442" s="2"/>
    </row>
    <row r="443">
      <c r="A443" s="82"/>
      <c r="C443" s="2"/>
    </row>
    <row r="444">
      <c r="A444" s="82"/>
      <c r="C444" s="2"/>
    </row>
    <row r="445">
      <c r="A445" s="82"/>
      <c r="C445" s="2"/>
    </row>
    <row r="446">
      <c r="A446" s="82"/>
      <c r="C446" s="2"/>
    </row>
    <row r="447">
      <c r="A447" s="82"/>
      <c r="C447" s="2"/>
    </row>
    <row r="448">
      <c r="A448" s="82"/>
      <c r="C448" s="2"/>
    </row>
    <row r="449">
      <c r="A449" s="82"/>
      <c r="C449" s="2"/>
    </row>
    <row r="450">
      <c r="A450" s="82"/>
      <c r="C450" s="2"/>
    </row>
    <row r="451">
      <c r="A451" s="82"/>
      <c r="C451" s="2"/>
    </row>
    <row r="452">
      <c r="A452" s="82"/>
      <c r="C452" s="2"/>
    </row>
    <row r="453">
      <c r="A453" s="82"/>
      <c r="C453" s="2"/>
    </row>
    <row r="454">
      <c r="A454" s="82"/>
      <c r="C454" s="2"/>
    </row>
    <row r="455">
      <c r="A455" s="82"/>
      <c r="C455" s="2"/>
    </row>
    <row r="456">
      <c r="A456" s="82"/>
      <c r="C456" s="2"/>
    </row>
    <row r="457">
      <c r="A457" s="82"/>
      <c r="C457" s="2"/>
    </row>
    <row r="458">
      <c r="A458" s="82"/>
      <c r="C458" s="2"/>
    </row>
    <row r="459">
      <c r="A459" s="82"/>
      <c r="C459" s="2"/>
    </row>
    <row r="460">
      <c r="A460" s="82"/>
      <c r="C460" s="2"/>
    </row>
    <row r="461">
      <c r="A461" s="82"/>
      <c r="C461" s="2"/>
    </row>
    <row r="462">
      <c r="A462" s="82"/>
      <c r="C462" s="2"/>
    </row>
    <row r="463">
      <c r="A463" s="82"/>
      <c r="C463" s="2"/>
    </row>
    <row r="464">
      <c r="A464" s="82"/>
      <c r="C464" s="2"/>
    </row>
    <row r="465">
      <c r="A465" s="82"/>
      <c r="C465" s="2"/>
    </row>
    <row r="466">
      <c r="A466" s="82"/>
      <c r="C466" s="2"/>
    </row>
    <row r="467">
      <c r="A467" s="82"/>
      <c r="C467" s="2"/>
    </row>
    <row r="468">
      <c r="A468" s="82"/>
      <c r="C468" s="2"/>
    </row>
    <row r="469">
      <c r="A469" s="82"/>
      <c r="C469" s="2"/>
    </row>
    <row r="470">
      <c r="A470" s="82"/>
      <c r="C470" s="2"/>
    </row>
    <row r="471">
      <c r="A471" s="82"/>
      <c r="C471" s="2"/>
    </row>
    <row r="472">
      <c r="A472" s="82"/>
      <c r="C472" s="2"/>
    </row>
    <row r="473">
      <c r="A473" s="82"/>
      <c r="C473" s="2"/>
    </row>
    <row r="474">
      <c r="A474" s="82"/>
      <c r="C474" s="2"/>
    </row>
    <row r="475">
      <c r="A475" s="82"/>
      <c r="C475" s="2"/>
    </row>
    <row r="476">
      <c r="A476" s="82"/>
      <c r="C476" s="2"/>
    </row>
    <row r="477">
      <c r="A477" s="82"/>
      <c r="C477" s="2"/>
    </row>
    <row r="478">
      <c r="A478" s="82"/>
      <c r="C478" s="2"/>
    </row>
    <row r="479">
      <c r="A479" s="82"/>
      <c r="C479" s="2"/>
    </row>
    <row r="480">
      <c r="A480" s="82"/>
      <c r="C480" s="2"/>
    </row>
    <row r="481">
      <c r="A481" s="82"/>
      <c r="C481" s="2"/>
    </row>
    <row r="482">
      <c r="A482" s="82"/>
      <c r="C482" s="2"/>
    </row>
    <row r="483">
      <c r="A483" s="82"/>
      <c r="C483" s="2"/>
    </row>
    <row r="484">
      <c r="A484" s="82"/>
      <c r="C484" s="2"/>
    </row>
    <row r="485">
      <c r="A485" s="82"/>
      <c r="C485" s="2"/>
    </row>
    <row r="486">
      <c r="A486" s="82"/>
      <c r="C486" s="2"/>
    </row>
    <row r="487">
      <c r="A487" s="82"/>
      <c r="C487" s="2"/>
    </row>
    <row r="488">
      <c r="A488" s="82"/>
      <c r="C488" s="2"/>
    </row>
    <row r="489">
      <c r="A489" s="82"/>
      <c r="C489" s="2"/>
    </row>
    <row r="490">
      <c r="A490" s="82"/>
      <c r="C490" s="2"/>
    </row>
    <row r="491">
      <c r="A491" s="82"/>
      <c r="C491" s="2"/>
    </row>
    <row r="492">
      <c r="A492" s="82"/>
      <c r="C492" s="2"/>
    </row>
    <row r="493">
      <c r="A493" s="82"/>
      <c r="C493" s="2"/>
    </row>
    <row r="494">
      <c r="A494" s="82"/>
      <c r="C494" s="2"/>
    </row>
    <row r="495">
      <c r="A495" s="82"/>
      <c r="C495" s="2"/>
    </row>
    <row r="496">
      <c r="A496" s="82"/>
      <c r="C496" s="2"/>
    </row>
    <row r="497">
      <c r="A497" s="82"/>
      <c r="C497" s="2"/>
    </row>
    <row r="498">
      <c r="A498" s="82"/>
      <c r="C498" s="2"/>
    </row>
    <row r="499">
      <c r="A499" s="82"/>
      <c r="C499" s="2"/>
    </row>
    <row r="500">
      <c r="A500" s="82"/>
      <c r="C500" s="2"/>
    </row>
    <row r="501">
      <c r="A501" s="82"/>
      <c r="C501" s="2"/>
    </row>
    <row r="502">
      <c r="A502" s="82"/>
      <c r="C502" s="2"/>
    </row>
    <row r="503">
      <c r="A503" s="82"/>
      <c r="C503" s="2"/>
    </row>
    <row r="504">
      <c r="A504" s="82"/>
      <c r="C504" s="2"/>
    </row>
    <row r="505">
      <c r="A505" s="82"/>
      <c r="C505" s="2"/>
    </row>
    <row r="506">
      <c r="A506" s="82"/>
      <c r="C506" s="2"/>
    </row>
    <row r="507">
      <c r="A507" s="82"/>
      <c r="C507" s="2"/>
    </row>
    <row r="508">
      <c r="A508" s="82"/>
      <c r="C508" s="2"/>
    </row>
    <row r="509">
      <c r="A509" s="82"/>
      <c r="C509" s="2"/>
    </row>
    <row r="510">
      <c r="A510" s="82"/>
      <c r="C510" s="2"/>
    </row>
    <row r="511">
      <c r="A511" s="82"/>
      <c r="C511" s="2"/>
    </row>
    <row r="512">
      <c r="A512" s="82"/>
      <c r="C512" s="2"/>
    </row>
    <row r="513">
      <c r="A513" s="82"/>
      <c r="C513" s="2"/>
    </row>
    <row r="514">
      <c r="A514" s="82"/>
      <c r="C514" s="2"/>
    </row>
    <row r="515">
      <c r="A515" s="82"/>
      <c r="C515" s="2"/>
    </row>
    <row r="516">
      <c r="A516" s="82"/>
      <c r="C516" s="2"/>
    </row>
    <row r="517">
      <c r="A517" s="82"/>
      <c r="C517" s="2"/>
    </row>
    <row r="518">
      <c r="A518" s="82"/>
      <c r="C518" s="2"/>
    </row>
    <row r="519">
      <c r="A519" s="82"/>
      <c r="C519" s="2"/>
    </row>
    <row r="520">
      <c r="A520" s="82"/>
      <c r="C520" s="2"/>
    </row>
    <row r="521">
      <c r="A521" s="82"/>
      <c r="C521" s="2"/>
    </row>
    <row r="522">
      <c r="A522" s="82"/>
      <c r="C522" s="2"/>
    </row>
    <row r="523">
      <c r="A523" s="82"/>
      <c r="C523" s="2"/>
    </row>
    <row r="524">
      <c r="A524" s="82"/>
      <c r="C524" s="2"/>
    </row>
    <row r="525">
      <c r="A525" s="82"/>
      <c r="C525" s="2"/>
    </row>
    <row r="526">
      <c r="A526" s="82"/>
      <c r="C526" s="2"/>
    </row>
    <row r="527">
      <c r="A527" s="82"/>
      <c r="C527" s="2"/>
    </row>
    <row r="528">
      <c r="A528" s="82"/>
      <c r="C528" s="2"/>
    </row>
    <row r="529">
      <c r="A529" s="82"/>
      <c r="C529" s="2"/>
    </row>
    <row r="530">
      <c r="A530" s="82"/>
      <c r="C530" s="2"/>
    </row>
    <row r="531">
      <c r="A531" s="82"/>
      <c r="C531" s="2"/>
    </row>
    <row r="532">
      <c r="A532" s="82"/>
      <c r="C532" s="2"/>
    </row>
    <row r="533">
      <c r="A533" s="82"/>
      <c r="C533" s="2"/>
    </row>
    <row r="534">
      <c r="A534" s="82"/>
      <c r="C534" s="2"/>
    </row>
    <row r="535">
      <c r="A535" s="82"/>
      <c r="C535" s="2"/>
    </row>
    <row r="536">
      <c r="A536" s="82"/>
      <c r="C536" s="2"/>
    </row>
    <row r="537">
      <c r="A537" s="82"/>
      <c r="C537" s="2"/>
    </row>
    <row r="538">
      <c r="A538" s="82"/>
      <c r="C538" s="2"/>
    </row>
    <row r="539">
      <c r="A539" s="82"/>
      <c r="C539" s="2"/>
    </row>
    <row r="540">
      <c r="A540" s="82"/>
      <c r="C540" s="2"/>
    </row>
    <row r="541">
      <c r="A541" s="82"/>
      <c r="C541" s="2"/>
    </row>
    <row r="542">
      <c r="A542" s="82"/>
      <c r="C542" s="2"/>
    </row>
    <row r="543">
      <c r="A543" s="82"/>
      <c r="C543" s="2"/>
    </row>
    <row r="544">
      <c r="A544" s="82"/>
      <c r="C544" s="2"/>
    </row>
    <row r="545">
      <c r="A545" s="82"/>
      <c r="C545" s="2"/>
    </row>
    <row r="546">
      <c r="A546" s="82"/>
      <c r="C546" s="2"/>
    </row>
    <row r="547">
      <c r="A547" s="82"/>
      <c r="C547" s="2"/>
    </row>
    <row r="548">
      <c r="A548" s="82"/>
      <c r="C548" s="2"/>
    </row>
    <row r="549">
      <c r="A549" s="82"/>
      <c r="C549" s="2"/>
    </row>
    <row r="550">
      <c r="A550" s="82"/>
      <c r="C550" s="2"/>
    </row>
    <row r="551">
      <c r="A551" s="82"/>
      <c r="C551" s="2"/>
    </row>
    <row r="552">
      <c r="A552" s="82"/>
      <c r="C552" s="2"/>
    </row>
    <row r="553">
      <c r="A553" s="82"/>
      <c r="C553" s="2"/>
    </row>
    <row r="554">
      <c r="A554" s="82"/>
      <c r="C554" s="2"/>
    </row>
    <row r="555">
      <c r="A555" s="82"/>
      <c r="C555" s="2"/>
    </row>
    <row r="556">
      <c r="A556" s="82"/>
      <c r="C556" s="2"/>
    </row>
    <row r="557">
      <c r="A557" s="82"/>
      <c r="C557" s="2"/>
    </row>
    <row r="558">
      <c r="A558" s="82"/>
      <c r="C558" s="2"/>
    </row>
    <row r="559">
      <c r="A559" s="82"/>
      <c r="C559" s="2"/>
    </row>
    <row r="560">
      <c r="A560" s="82"/>
      <c r="C560" s="2"/>
    </row>
    <row r="561">
      <c r="A561" s="82"/>
      <c r="C561" s="2"/>
    </row>
    <row r="562">
      <c r="A562" s="82"/>
      <c r="C562" s="2"/>
    </row>
    <row r="563">
      <c r="A563" s="82"/>
      <c r="C563" s="2"/>
    </row>
    <row r="564">
      <c r="A564" s="82"/>
      <c r="C564" s="2"/>
    </row>
    <row r="565">
      <c r="A565" s="82"/>
      <c r="C565" s="2"/>
    </row>
    <row r="566">
      <c r="A566" s="82"/>
      <c r="C566" s="2"/>
    </row>
    <row r="567">
      <c r="A567" s="82"/>
      <c r="C567" s="2"/>
    </row>
    <row r="568">
      <c r="A568" s="82"/>
      <c r="C568" s="2"/>
    </row>
    <row r="569">
      <c r="A569" s="82"/>
      <c r="C569" s="2"/>
    </row>
    <row r="570">
      <c r="A570" s="82"/>
      <c r="C570" s="2"/>
    </row>
    <row r="571">
      <c r="A571" s="82"/>
      <c r="C571" s="2"/>
    </row>
    <row r="572">
      <c r="A572" s="82"/>
      <c r="C572" s="2"/>
    </row>
    <row r="573">
      <c r="A573" s="82"/>
      <c r="C573" s="2"/>
    </row>
    <row r="574">
      <c r="A574" s="82"/>
      <c r="C574" s="2"/>
    </row>
    <row r="575">
      <c r="A575" s="82"/>
      <c r="C575" s="2"/>
    </row>
    <row r="576">
      <c r="A576" s="82"/>
      <c r="C576" s="2"/>
    </row>
    <row r="577">
      <c r="A577" s="82"/>
      <c r="C577" s="2"/>
    </row>
    <row r="578">
      <c r="A578" s="82"/>
      <c r="C578" s="2"/>
    </row>
    <row r="579">
      <c r="A579" s="82"/>
      <c r="C579" s="2"/>
    </row>
    <row r="580">
      <c r="A580" s="82"/>
      <c r="C580" s="2"/>
    </row>
    <row r="581">
      <c r="A581" s="82"/>
      <c r="C581" s="2"/>
    </row>
    <row r="582">
      <c r="A582" s="82"/>
      <c r="C582" s="2"/>
    </row>
    <row r="583">
      <c r="A583" s="82"/>
      <c r="C583" s="2"/>
    </row>
    <row r="584">
      <c r="A584" s="82"/>
      <c r="C584" s="2"/>
    </row>
    <row r="585">
      <c r="A585" s="82"/>
      <c r="C585" s="2"/>
    </row>
    <row r="586">
      <c r="A586" s="82"/>
      <c r="C586" s="2"/>
    </row>
    <row r="587">
      <c r="A587" s="82"/>
      <c r="C587" s="2"/>
    </row>
    <row r="588">
      <c r="A588" s="82"/>
      <c r="C588" s="2"/>
    </row>
    <row r="589">
      <c r="A589" s="82"/>
      <c r="C589" s="2"/>
    </row>
    <row r="590">
      <c r="A590" s="82"/>
      <c r="C590" s="2"/>
    </row>
    <row r="591">
      <c r="A591" s="82"/>
      <c r="C591" s="2"/>
    </row>
    <row r="592">
      <c r="A592" s="82"/>
      <c r="C592" s="2"/>
    </row>
    <row r="593">
      <c r="A593" s="82"/>
      <c r="C593" s="2"/>
    </row>
    <row r="594">
      <c r="A594" s="82"/>
      <c r="C594" s="2"/>
    </row>
    <row r="595">
      <c r="A595" s="82"/>
      <c r="C595" s="2"/>
    </row>
    <row r="596">
      <c r="A596" s="82"/>
      <c r="C596" s="2"/>
    </row>
    <row r="597">
      <c r="A597" s="82"/>
      <c r="C597" s="2"/>
    </row>
    <row r="598">
      <c r="A598" s="82"/>
      <c r="C598" s="2"/>
    </row>
    <row r="599">
      <c r="A599" s="82"/>
      <c r="C599" s="2"/>
    </row>
    <row r="600">
      <c r="A600" s="82"/>
      <c r="C600" s="2"/>
    </row>
    <row r="601">
      <c r="A601" s="82"/>
      <c r="C601" s="2"/>
    </row>
    <row r="602">
      <c r="A602" s="82"/>
      <c r="C602" s="2"/>
    </row>
    <row r="603">
      <c r="A603" s="82"/>
      <c r="C603" s="2"/>
    </row>
    <row r="604">
      <c r="A604" s="82"/>
      <c r="C604" s="2"/>
    </row>
    <row r="605">
      <c r="A605" s="82"/>
      <c r="C605" s="2"/>
    </row>
    <row r="606">
      <c r="A606" s="82"/>
      <c r="C606" s="2"/>
    </row>
    <row r="607">
      <c r="A607" s="82"/>
      <c r="C607" s="2"/>
    </row>
    <row r="608">
      <c r="A608" s="82"/>
      <c r="C608" s="2"/>
    </row>
    <row r="609">
      <c r="A609" s="82"/>
      <c r="C609" s="2"/>
    </row>
    <row r="610">
      <c r="A610" s="82"/>
      <c r="C610" s="2"/>
    </row>
    <row r="611">
      <c r="A611" s="82"/>
      <c r="C611" s="2"/>
    </row>
    <row r="612">
      <c r="A612" s="82"/>
      <c r="C612" s="2"/>
    </row>
    <row r="613">
      <c r="A613" s="82"/>
      <c r="C613" s="2"/>
    </row>
    <row r="614">
      <c r="A614" s="82"/>
      <c r="C614" s="2"/>
    </row>
    <row r="615">
      <c r="A615" s="82"/>
      <c r="C615" s="2"/>
    </row>
    <row r="616">
      <c r="A616" s="82"/>
      <c r="C616" s="2"/>
    </row>
    <row r="617">
      <c r="A617" s="82"/>
      <c r="C617" s="2"/>
    </row>
    <row r="618">
      <c r="A618" s="82"/>
      <c r="C618" s="2"/>
    </row>
    <row r="619">
      <c r="A619" s="82"/>
      <c r="C619" s="2"/>
    </row>
    <row r="620">
      <c r="A620" s="82"/>
      <c r="C620" s="2"/>
    </row>
    <row r="621">
      <c r="A621" s="82"/>
      <c r="C621" s="2"/>
    </row>
    <row r="622">
      <c r="A622" s="82"/>
      <c r="C622" s="2"/>
    </row>
    <row r="623">
      <c r="A623" s="82"/>
      <c r="C623" s="2"/>
    </row>
    <row r="624">
      <c r="A624" s="82"/>
      <c r="C624" s="2"/>
    </row>
    <row r="625">
      <c r="A625" s="82"/>
      <c r="C625" s="2"/>
    </row>
    <row r="626">
      <c r="A626" s="82"/>
      <c r="C626" s="2"/>
    </row>
    <row r="627">
      <c r="A627" s="82"/>
      <c r="C627" s="2"/>
    </row>
    <row r="628">
      <c r="A628" s="82"/>
      <c r="C628" s="2"/>
    </row>
    <row r="629">
      <c r="A629" s="82"/>
      <c r="C629" s="2"/>
    </row>
    <row r="630">
      <c r="A630" s="82"/>
      <c r="C630" s="2"/>
    </row>
    <row r="631">
      <c r="A631" s="82"/>
      <c r="C631" s="2"/>
    </row>
    <row r="632">
      <c r="A632" s="82"/>
      <c r="C632" s="2"/>
    </row>
    <row r="633">
      <c r="A633" s="82"/>
      <c r="C633" s="2"/>
    </row>
    <row r="634">
      <c r="A634" s="82"/>
      <c r="C634" s="2"/>
    </row>
    <row r="635">
      <c r="A635" s="82"/>
      <c r="C635" s="2"/>
    </row>
    <row r="636">
      <c r="A636" s="82"/>
      <c r="C636" s="2"/>
    </row>
    <row r="637">
      <c r="A637" s="82"/>
      <c r="C637" s="2"/>
    </row>
    <row r="638">
      <c r="A638" s="82"/>
      <c r="C638" s="2"/>
    </row>
    <row r="639">
      <c r="A639" s="82"/>
      <c r="C639" s="2"/>
    </row>
    <row r="640">
      <c r="A640" s="82"/>
      <c r="C640" s="2"/>
    </row>
    <row r="641">
      <c r="A641" s="82"/>
      <c r="C641" s="2"/>
    </row>
    <row r="642">
      <c r="A642" s="82"/>
      <c r="C642" s="2"/>
    </row>
    <row r="643">
      <c r="A643" s="82"/>
      <c r="C643" s="2"/>
    </row>
    <row r="644">
      <c r="A644" s="82"/>
      <c r="C644" s="2"/>
    </row>
    <row r="645">
      <c r="A645" s="82"/>
      <c r="C645" s="2"/>
    </row>
    <row r="646">
      <c r="A646" s="82"/>
      <c r="C646" s="2"/>
    </row>
    <row r="647">
      <c r="A647" s="82"/>
      <c r="C647" s="2"/>
    </row>
    <row r="648">
      <c r="A648" s="82"/>
      <c r="C648" s="2"/>
    </row>
    <row r="649">
      <c r="A649" s="82"/>
      <c r="C649" s="2"/>
    </row>
    <row r="650">
      <c r="A650" s="82"/>
      <c r="C650" s="2"/>
    </row>
    <row r="651">
      <c r="A651" s="82"/>
      <c r="C651" s="2"/>
    </row>
    <row r="652">
      <c r="A652" s="82"/>
      <c r="C652" s="2"/>
    </row>
    <row r="653">
      <c r="A653" s="82"/>
      <c r="C653" s="2"/>
    </row>
    <row r="654">
      <c r="A654" s="82"/>
      <c r="C654" s="2"/>
    </row>
    <row r="655">
      <c r="A655" s="82"/>
      <c r="C655" s="2"/>
    </row>
    <row r="656">
      <c r="A656" s="82"/>
      <c r="C656" s="2"/>
    </row>
    <row r="657">
      <c r="A657" s="82"/>
      <c r="C657" s="2"/>
    </row>
    <row r="658">
      <c r="A658" s="82"/>
      <c r="C658" s="2"/>
    </row>
    <row r="659">
      <c r="A659" s="82"/>
      <c r="C659" s="2"/>
    </row>
    <row r="660">
      <c r="A660" s="82"/>
      <c r="C660" s="2"/>
    </row>
    <row r="661">
      <c r="A661" s="82"/>
      <c r="C661" s="2"/>
    </row>
    <row r="662">
      <c r="A662" s="82"/>
      <c r="C662" s="2"/>
    </row>
    <row r="663">
      <c r="A663" s="82"/>
      <c r="C663" s="2"/>
    </row>
    <row r="664">
      <c r="A664" s="82"/>
      <c r="C664" s="2"/>
    </row>
    <row r="665">
      <c r="A665" s="82"/>
      <c r="C665" s="2"/>
    </row>
    <row r="666">
      <c r="A666" s="82"/>
      <c r="C666" s="2"/>
    </row>
    <row r="667">
      <c r="A667" s="82"/>
      <c r="C667" s="2"/>
    </row>
    <row r="668">
      <c r="A668" s="82"/>
      <c r="C668" s="2"/>
    </row>
    <row r="669">
      <c r="A669" s="82"/>
      <c r="C669" s="2"/>
    </row>
    <row r="670">
      <c r="A670" s="82"/>
      <c r="C670" s="2"/>
    </row>
    <row r="671">
      <c r="A671" s="82"/>
      <c r="C671" s="2"/>
    </row>
    <row r="672">
      <c r="A672" s="82"/>
      <c r="C672" s="2"/>
    </row>
    <row r="673">
      <c r="A673" s="82"/>
      <c r="C673" s="2"/>
    </row>
    <row r="674">
      <c r="A674" s="82"/>
      <c r="C674" s="2"/>
    </row>
    <row r="675">
      <c r="A675" s="82"/>
      <c r="C675" s="2"/>
    </row>
    <row r="676">
      <c r="A676" s="82"/>
      <c r="C676" s="2"/>
    </row>
    <row r="677">
      <c r="A677" s="82"/>
      <c r="C677" s="2"/>
    </row>
    <row r="678">
      <c r="A678" s="82"/>
      <c r="C678" s="2"/>
    </row>
    <row r="679">
      <c r="A679" s="82"/>
      <c r="C679" s="2"/>
    </row>
    <row r="680">
      <c r="A680" s="82"/>
      <c r="C680" s="2"/>
    </row>
    <row r="681">
      <c r="A681" s="82"/>
      <c r="C681" s="2"/>
    </row>
    <row r="682">
      <c r="A682" s="82"/>
      <c r="C682" s="2"/>
    </row>
    <row r="683">
      <c r="A683" s="82"/>
      <c r="C683" s="2"/>
    </row>
    <row r="684">
      <c r="A684" s="82"/>
      <c r="C684" s="2"/>
    </row>
    <row r="685">
      <c r="A685" s="82"/>
      <c r="C685" s="2"/>
    </row>
    <row r="686">
      <c r="A686" s="82"/>
      <c r="C686" s="2"/>
    </row>
    <row r="687">
      <c r="A687" s="82"/>
      <c r="C687" s="2"/>
    </row>
    <row r="688">
      <c r="A688" s="82"/>
      <c r="C688" s="2"/>
    </row>
    <row r="689">
      <c r="A689" s="82"/>
      <c r="C689" s="2"/>
    </row>
    <row r="690">
      <c r="A690" s="82"/>
      <c r="C690" s="2"/>
    </row>
    <row r="691">
      <c r="A691" s="82"/>
      <c r="C691" s="2"/>
    </row>
    <row r="692">
      <c r="A692" s="82"/>
      <c r="C692" s="2"/>
    </row>
    <row r="693">
      <c r="A693" s="82"/>
      <c r="C693" s="2"/>
    </row>
    <row r="694">
      <c r="A694" s="82"/>
      <c r="C694" s="2"/>
    </row>
    <row r="695">
      <c r="A695" s="82"/>
      <c r="C695" s="2"/>
    </row>
    <row r="696">
      <c r="A696" s="82"/>
      <c r="C696" s="2"/>
    </row>
    <row r="697">
      <c r="A697" s="82"/>
      <c r="C697" s="2"/>
    </row>
    <row r="698">
      <c r="A698" s="82"/>
      <c r="C698" s="2"/>
    </row>
    <row r="699">
      <c r="A699" s="82"/>
      <c r="C699" s="2"/>
    </row>
    <row r="700">
      <c r="A700" s="82"/>
      <c r="C700" s="2"/>
    </row>
    <row r="701">
      <c r="A701" s="82"/>
      <c r="C701" s="2"/>
    </row>
    <row r="702">
      <c r="A702" s="82"/>
      <c r="C702" s="2"/>
    </row>
    <row r="703">
      <c r="A703" s="82"/>
      <c r="C703" s="2"/>
    </row>
    <row r="704">
      <c r="A704" s="82"/>
      <c r="C704" s="2"/>
    </row>
    <row r="705">
      <c r="A705" s="82"/>
      <c r="C705" s="2"/>
    </row>
    <row r="706">
      <c r="A706" s="82"/>
      <c r="C706" s="2"/>
    </row>
    <row r="707">
      <c r="A707" s="82"/>
      <c r="C707" s="2"/>
    </row>
    <row r="708">
      <c r="A708" s="82"/>
      <c r="C708" s="2"/>
    </row>
    <row r="709">
      <c r="A709" s="82"/>
      <c r="C709" s="2"/>
    </row>
    <row r="710">
      <c r="A710" s="82"/>
      <c r="C710" s="2"/>
    </row>
    <row r="711">
      <c r="A711" s="82"/>
      <c r="C711" s="2"/>
    </row>
    <row r="712">
      <c r="A712" s="82"/>
      <c r="C712" s="2"/>
    </row>
    <row r="713">
      <c r="A713" s="82"/>
      <c r="C713" s="2"/>
    </row>
    <row r="714">
      <c r="A714" s="82"/>
      <c r="C714" s="2"/>
    </row>
    <row r="715">
      <c r="A715" s="82"/>
      <c r="C715" s="2"/>
    </row>
    <row r="716">
      <c r="A716" s="82"/>
      <c r="C716" s="2"/>
    </row>
    <row r="717">
      <c r="A717" s="82"/>
      <c r="C717" s="2"/>
    </row>
    <row r="718">
      <c r="A718" s="82"/>
      <c r="C718" s="2"/>
    </row>
    <row r="719">
      <c r="A719" s="82"/>
      <c r="C719" s="2"/>
    </row>
    <row r="720">
      <c r="A720" s="82"/>
      <c r="C720" s="2"/>
    </row>
    <row r="721">
      <c r="A721" s="82"/>
      <c r="C721" s="2"/>
    </row>
    <row r="722">
      <c r="A722" s="82"/>
      <c r="C722" s="2"/>
    </row>
    <row r="723">
      <c r="A723" s="82"/>
      <c r="C723" s="2"/>
    </row>
    <row r="724">
      <c r="A724" s="82"/>
      <c r="C724" s="2"/>
    </row>
    <row r="725">
      <c r="A725" s="82"/>
      <c r="C725" s="2"/>
    </row>
    <row r="726">
      <c r="A726" s="82"/>
      <c r="C726" s="2"/>
    </row>
    <row r="727">
      <c r="A727" s="82"/>
      <c r="C727" s="2"/>
    </row>
    <row r="728">
      <c r="A728" s="82"/>
      <c r="C728" s="2"/>
    </row>
    <row r="729">
      <c r="A729" s="82"/>
      <c r="C729" s="2"/>
    </row>
    <row r="730">
      <c r="A730" s="82"/>
      <c r="C730" s="2"/>
    </row>
    <row r="731">
      <c r="A731" s="82"/>
      <c r="C731" s="2"/>
    </row>
    <row r="732">
      <c r="A732" s="82"/>
      <c r="C732" s="2"/>
    </row>
    <row r="733">
      <c r="A733" s="82"/>
      <c r="C733" s="2"/>
    </row>
    <row r="734">
      <c r="A734" s="82"/>
      <c r="C734" s="2"/>
    </row>
    <row r="735">
      <c r="A735" s="82"/>
      <c r="C735" s="2"/>
    </row>
    <row r="736">
      <c r="A736" s="82"/>
      <c r="C736" s="2"/>
    </row>
    <row r="737">
      <c r="A737" s="82"/>
      <c r="C737" s="2"/>
    </row>
    <row r="738">
      <c r="A738" s="82"/>
      <c r="C738" s="2"/>
    </row>
    <row r="739">
      <c r="A739" s="82"/>
      <c r="C739" s="2"/>
    </row>
    <row r="740">
      <c r="A740" s="82"/>
      <c r="C740" s="2"/>
    </row>
    <row r="741">
      <c r="A741" s="82"/>
      <c r="C741" s="2"/>
    </row>
    <row r="742">
      <c r="A742" s="82"/>
      <c r="C742" s="2"/>
    </row>
    <row r="743">
      <c r="A743" s="82"/>
      <c r="C743" s="2"/>
    </row>
    <row r="744">
      <c r="A744" s="82"/>
      <c r="C744" s="2"/>
    </row>
    <row r="745">
      <c r="A745" s="82"/>
      <c r="C745" s="2"/>
    </row>
    <row r="746">
      <c r="A746" s="82"/>
      <c r="C746" s="2"/>
    </row>
    <row r="747">
      <c r="A747" s="82"/>
      <c r="C747" s="2"/>
    </row>
    <row r="748">
      <c r="A748" s="82"/>
      <c r="C748" s="2"/>
    </row>
    <row r="749">
      <c r="A749" s="82"/>
      <c r="C749" s="2"/>
    </row>
    <row r="750">
      <c r="A750" s="82"/>
      <c r="C750" s="2"/>
    </row>
    <row r="751">
      <c r="A751" s="82"/>
      <c r="C751" s="2"/>
    </row>
    <row r="752">
      <c r="A752" s="82"/>
      <c r="C752" s="2"/>
    </row>
    <row r="753">
      <c r="A753" s="82"/>
      <c r="C753" s="2"/>
    </row>
    <row r="754">
      <c r="A754" s="82"/>
      <c r="C754" s="2"/>
    </row>
    <row r="755">
      <c r="A755" s="82"/>
      <c r="C755" s="2"/>
    </row>
    <row r="756">
      <c r="A756" s="82"/>
      <c r="C756" s="2"/>
    </row>
    <row r="757">
      <c r="A757" s="82"/>
      <c r="C757" s="2"/>
    </row>
    <row r="758">
      <c r="A758" s="82"/>
      <c r="C758" s="2"/>
    </row>
    <row r="759">
      <c r="A759" s="82"/>
      <c r="C759" s="2"/>
    </row>
    <row r="760">
      <c r="A760" s="82"/>
      <c r="C760" s="2"/>
    </row>
    <row r="761">
      <c r="A761" s="82"/>
      <c r="C761" s="2"/>
    </row>
    <row r="762">
      <c r="A762" s="82"/>
      <c r="C762" s="2"/>
    </row>
    <row r="763">
      <c r="A763" s="82"/>
      <c r="C763" s="2"/>
    </row>
    <row r="764">
      <c r="A764" s="82"/>
      <c r="C764" s="2"/>
    </row>
    <row r="765">
      <c r="A765" s="82"/>
      <c r="C765" s="2"/>
    </row>
    <row r="766">
      <c r="A766" s="82"/>
      <c r="C766" s="2"/>
    </row>
    <row r="767">
      <c r="A767" s="82"/>
      <c r="C767" s="2"/>
    </row>
    <row r="768">
      <c r="A768" s="82"/>
      <c r="C768" s="2"/>
    </row>
    <row r="769">
      <c r="A769" s="82"/>
      <c r="C769" s="2"/>
    </row>
    <row r="770">
      <c r="A770" s="82"/>
      <c r="C770" s="2"/>
    </row>
    <row r="771">
      <c r="A771" s="82"/>
      <c r="C771" s="2"/>
    </row>
    <row r="772">
      <c r="A772" s="82"/>
      <c r="C772" s="2"/>
    </row>
    <row r="773">
      <c r="A773" s="82"/>
      <c r="C773" s="2"/>
    </row>
    <row r="774">
      <c r="A774" s="82"/>
      <c r="C774" s="2"/>
    </row>
    <row r="775">
      <c r="A775" s="82"/>
      <c r="C775" s="2"/>
    </row>
    <row r="776">
      <c r="A776" s="82"/>
      <c r="C776" s="2"/>
    </row>
    <row r="777">
      <c r="A777" s="82"/>
      <c r="C777" s="2"/>
    </row>
    <row r="778">
      <c r="A778" s="82"/>
      <c r="C778" s="2"/>
    </row>
    <row r="779">
      <c r="A779" s="82"/>
      <c r="C779" s="2"/>
    </row>
    <row r="780">
      <c r="A780" s="82"/>
      <c r="C780" s="2"/>
    </row>
    <row r="781">
      <c r="A781" s="82"/>
      <c r="C781" s="2"/>
    </row>
    <row r="782">
      <c r="A782" s="82"/>
      <c r="C782" s="2"/>
    </row>
    <row r="783">
      <c r="A783" s="82"/>
      <c r="C783" s="2"/>
    </row>
    <row r="784">
      <c r="A784" s="82"/>
      <c r="C784" s="2"/>
    </row>
    <row r="785">
      <c r="A785" s="82"/>
      <c r="C785" s="2"/>
    </row>
    <row r="786">
      <c r="A786" s="82"/>
      <c r="C786" s="2"/>
    </row>
    <row r="787">
      <c r="A787" s="82"/>
      <c r="C787" s="2"/>
    </row>
    <row r="788">
      <c r="A788" s="82"/>
      <c r="C788" s="2"/>
    </row>
    <row r="789">
      <c r="A789" s="82"/>
      <c r="C789" s="2"/>
    </row>
    <row r="790">
      <c r="A790" s="82"/>
      <c r="C790" s="2"/>
    </row>
    <row r="791">
      <c r="A791" s="82"/>
      <c r="C791" s="2"/>
    </row>
    <row r="792">
      <c r="A792" s="82"/>
      <c r="C792" s="2"/>
    </row>
    <row r="793">
      <c r="A793" s="82"/>
      <c r="C793" s="2"/>
    </row>
    <row r="794">
      <c r="A794" s="82"/>
      <c r="C794" s="2"/>
    </row>
    <row r="795">
      <c r="A795" s="82"/>
      <c r="C795" s="2"/>
    </row>
    <row r="796">
      <c r="A796" s="82"/>
      <c r="C796" s="2"/>
    </row>
    <row r="797">
      <c r="A797" s="82"/>
      <c r="C797" s="2"/>
    </row>
    <row r="798">
      <c r="A798" s="82"/>
      <c r="C798" s="2"/>
    </row>
    <row r="799">
      <c r="A799" s="82"/>
      <c r="C799" s="2"/>
    </row>
    <row r="800">
      <c r="A800" s="82"/>
      <c r="C800" s="2"/>
    </row>
    <row r="801">
      <c r="A801" s="82"/>
      <c r="C801" s="2"/>
    </row>
    <row r="802">
      <c r="A802" s="82"/>
      <c r="C802" s="2"/>
    </row>
    <row r="803">
      <c r="A803" s="82"/>
      <c r="C803" s="2"/>
    </row>
    <row r="804">
      <c r="A804" s="82"/>
      <c r="C804" s="2"/>
    </row>
    <row r="805">
      <c r="A805" s="82"/>
      <c r="C805" s="2"/>
    </row>
    <row r="806">
      <c r="A806" s="82"/>
      <c r="C806" s="2"/>
    </row>
    <row r="807">
      <c r="A807" s="82"/>
      <c r="C807" s="2"/>
    </row>
    <row r="808">
      <c r="A808" s="82"/>
      <c r="C808" s="2"/>
    </row>
    <row r="809">
      <c r="A809" s="82"/>
      <c r="C809" s="2"/>
    </row>
    <row r="810">
      <c r="A810" s="82"/>
      <c r="C810" s="2"/>
    </row>
    <row r="811">
      <c r="A811" s="82"/>
      <c r="C811" s="2"/>
    </row>
    <row r="812">
      <c r="A812" s="82"/>
      <c r="C812" s="2"/>
    </row>
    <row r="813">
      <c r="A813" s="82"/>
      <c r="C813" s="2"/>
    </row>
    <row r="814">
      <c r="A814" s="82"/>
      <c r="C814" s="2"/>
    </row>
    <row r="815">
      <c r="A815" s="82"/>
      <c r="C815" s="2"/>
    </row>
    <row r="816">
      <c r="A816" s="82"/>
      <c r="C816" s="2"/>
    </row>
    <row r="817">
      <c r="A817" s="82"/>
      <c r="C817" s="2"/>
    </row>
    <row r="818">
      <c r="A818" s="82"/>
      <c r="C818" s="2"/>
    </row>
    <row r="819">
      <c r="A819" s="82"/>
      <c r="C819" s="2"/>
    </row>
    <row r="820">
      <c r="A820" s="82"/>
      <c r="C820" s="2"/>
    </row>
    <row r="821">
      <c r="A821" s="82"/>
      <c r="C821" s="2"/>
    </row>
    <row r="822">
      <c r="A822" s="82"/>
      <c r="C822" s="2"/>
    </row>
    <row r="823">
      <c r="A823" s="82"/>
      <c r="C823" s="2"/>
    </row>
    <row r="824">
      <c r="A824" s="82"/>
      <c r="C824" s="2"/>
    </row>
    <row r="825">
      <c r="A825" s="82"/>
      <c r="C825" s="2"/>
    </row>
    <row r="826">
      <c r="A826" s="82"/>
      <c r="C826" s="2"/>
    </row>
    <row r="827">
      <c r="A827" s="82"/>
      <c r="C827" s="2"/>
    </row>
    <row r="828">
      <c r="A828" s="82"/>
      <c r="C828" s="2"/>
    </row>
    <row r="829">
      <c r="A829" s="82"/>
      <c r="C829" s="2"/>
    </row>
    <row r="830">
      <c r="A830" s="82"/>
      <c r="C830" s="2"/>
    </row>
    <row r="831">
      <c r="A831" s="82"/>
      <c r="C831" s="2"/>
    </row>
    <row r="832">
      <c r="A832" s="82"/>
      <c r="C832" s="2"/>
    </row>
    <row r="833">
      <c r="A833" s="82"/>
      <c r="C833" s="2"/>
    </row>
    <row r="834">
      <c r="A834" s="82"/>
      <c r="C834" s="2"/>
    </row>
    <row r="835">
      <c r="A835" s="82"/>
      <c r="C835" s="2"/>
    </row>
    <row r="836">
      <c r="A836" s="82"/>
      <c r="C836" s="2"/>
    </row>
    <row r="837">
      <c r="A837" s="82"/>
      <c r="C837" s="2"/>
    </row>
    <row r="838">
      <c r="A838" s="82"/>
      <c r="C838" s="2"/>
    </row>
    <row r="839">
      <c r="A839" s="82"/>
      <c r="C839" s="2"/>
    </row>
    <row r="840">
      <c r="A840" s="82"/>
      <c r="C840" s="2"/>
    </row>
    <row r="841">
      <c r="A841" s="82"/>
      <c r="C841" s="2"/>
    </row>
    <row r="842">
      <c r="A842" s="82"/>
      <c r="C842" s="2"/>
    </row>
    <row r="843">
      <c r="A843" s="82"/>
      <c r="C843" s="2"/>
    </row>
    <row r="844">
      <c r="A844" s="82"/>
      <c r="C844" s="2"/>
    </row>
    <row r="845">
      <c r="A845" s="82"/>
      <c r="C845" s="2"/>
    </row>
    <row r="846">
      <c r="A846" s="82"/>
      <c r="C846" s="2"/>
    </row>
    <row r="847">
      <c r="A847" s="82"/>
      <c r="C847" s="2"/>
    </row>
    <row r="848">
      <c r="A848" s="82"/>
      <c r="C848" s="2"/>
    </row>
    <row r="849">
      <c r="A849" s="82"/>
      <c r="C849" s="2"/>
    </row>
    <row r="850">
      <c r="A850" s="82"/>
      <c r="C850" s="2"/>
    </row>
    <row r="851">
      <c r="A851" s="82"/>
      <c r="C851" s="2"/>
    </row>
    <row r="852">
      <c r="A852" s="82"/>
      <c r="C852" s="2"/>
    </row>
    <row r="853">
      <c r="A853" s="82"/>
      <c r="C853" s="2"/>
    </row>
    <row r="854">
      <c r="A854" s="82"/>
      <c r="C854" s="2"/>
    </row>
    <row r="855">
      <c r="A855" s="82"/>
      <c r="C855" s="2"/>
    </row>
    <row r="856">
      <c r="A856" s="82"/>
      <c r="C856" s="2"/>
    </row>
    <row r="857">
      <c r="A857" s="82"/>
      <c r="C857" s="2"/>
    </row>
    <row r="858">
      <c r="A858" s="82"/>
      <c r="C858" s="2"/>
    </row>
    <row r="859">
      <c r="A859" s="82"/>
      <c r="C859" s="2"/>
    </row>
    <row r="860">
      <c r="A860" s="82"/>
      <c r="C860" s="2"/>
    </row>
    <row r="861">
      <c r="A861" s="82"/>
      <c r="C861" s="2"/>
    </row>
    <row r="862">
      <c r="A862" s="82"/>
      <c r="C862" s="2"/>
    </row>
    <row r="863">
      <c r="A863" s="82"/>
      <c r="C863" s="2"/>
    </row>
    <row r="864">
      <c r="A864" s="82"/>
      <c r="C864" s="2"/>
    </row>
    <row r="865">
      <c r="A865" s="82"/>
      <c r="C865" s="2"/>
    </row>
    <row r="866">
      <c r="A866" s="82"/>
      <c r="C866" s="2"/>
    </row>
    <row r="867">
      <c r="A867" s="82"/>
      <c r="C867" s="2"/>
    </row>
    <row r="868">
      <c r="A868" s="82"/>
      <c r="C868" s="2"/>
    </row>
    <row r="869">
      <c r="A869" s="82"/>
      <c r="C869" s="2"/>
    </row>
    <row r="870">
      <c r="A870" s="82"/>
      <c r="C870" s="2"/>
    </row>
    <row r="871">
      <c r="A871" s="82"/>
      <c r="C871" s="2"/>
    </row>
    <row r="872">
      <c r="A872" s="82"/>
      <c r="C872" s="2"/>
    </row>
    <row r="873">
      <c r="A873" s="82"/>
      <c r="C873" s="2"/>
    </row>
    <row r="874">
      <c r="A874" s="82"/>
      <c r="C874" s="2"/>
    </row>
    <row r="875">
      <c r="A875" s="82"/>
      <c r="C875" s="2"/>
    </row>
    <row r="876">
      <c r="A876" s="82"/>
      <c r="C876" s="2"/>
    </row>
    <row r="877">
      <c r="A877" s="82"/>
      <c r="C877" s="2"/>
    </row>
    <row r="878">
      <c r="A878" s="82"/>
      <c r="C878" s="2"/>
    </row>
    <row r="879">
      <c r="A879" s="82"/>
      <c r="C879" s="2"/>
    </row>
    <row r="880">
      <c r="A880" s="82"/>
      <c r="C880" s="2"/>
    </row>
    <row r="881">
      <c r="A881" s="82"/>
      <c r="C881" s="2"/>
    </row>
    <row r="882">
      <c r="A882" s="82"/>
      <c r="C882" s="2"/>
    </row>
    <row r="883">
      <c r="A883" s="82"/>
      <c r="C883" s="2"/>
    </row>
    <row r="884">
      <c r="A884" s="82"/>
      <c r="C884" s="2"/>
    </row>
    <row r="885">
      <c r="A885" s="82"/>
      <c r="C885" s="2"/>
    </row>
    <row r="886">
      <c r="A886" s="82"/>
      <c r="C886" s="2"/>
    </row>
    <row r="887">
      <c r="A887" s="82"/>
      <c r="C887" s="2"/>
    </row>
    <row r="888">
      <c r="A888" s="82"/>
      <c r="C888" s="2"/>
    </row>
    <row r="889">
      <c r="A889" s="82"/>
      <c r="C889" s="2"/>
    </row>
    <row r="890">
      <c r="A890" s="82"/>
      <c r="C890" s="2"/>
    </row>
    <row r="891">
      <c r="A891" s="82"/>
      <c r="C891" s="2"/>
    </row>
    <row r="892">
      <c r="A892" s="82"/>
      <c r="C892" s="2"/>
    </row>
    <row r="893">
      <c r="A893" s="82"/>
      <c r="C893" s="2"/>
    </row>
    <row r="894">
      <c r="A894" s="82"/>
      <c r="C894" s="2"/>
    </row>
    <row r="895">
      <c r="A895" s="82"/>
      <c r="C895" s="2"/>
    </row>
    <row r="896">
      <c r="A896" s="82"/>
      <c r="C896" s="2"/>
    </row>
    <row r="897">
      <c r="A897" s="82"/>
      <c r="C897" s="2"/>
    </row>
    <row r="898">
      <c r="A898" s="82"/>
      <c r="C898" s="2"/>
    </row>
    <row r="899">
      <c r="A899" s="82"/>
      <c r="C899" s="2"/>
    </row>
    <row r="900">
      <c r="A900" s="82"/>
      <c r="C900" s="2"/>
    </row>
    <row r="901">
      <c r="A901" s="82"/>
      <c r="C901" s="2"/>
    </row>
    <row r="902">
      <c r="A902" s="82"/>
      <c r="C902" s="2"/>
    </row>
    <row r="903">
      <c r="A903" s="82"/>
      <c r="C903" s="2"/>
    </row>
    <row r="904">
      <c r="A904" s="82"/>
      <c r="C904" s="2"/>
    </row>
    <row r="905">
      <c r="A905" s="82"/>
      <c r="C905" s="2"/>
    </row>
    <row r="906">
      <c r="A906" s="82"/>
      <c r="C906" s="2"/>
    </row>
    <row r="907">
      <c r="A907" s="82"/>
      <c r="C907" s="2"/>
    </row>
    <row r="908">
      <c r="A908" s="82"/>
      <c r="C908" s="2"/>
    </row>
    <row r="909">
      <c r="A909" s="82"/>
      <c r="C909" s="2"/>
    </row>
    <row r="910">
      <c r="A910" s="82"/>
      <c r="C910" s="2"/>
    </row>
    <row r="911">
      <c r="A911" s="82"/>
      <c r="C911" s="2"/>
    </row>
    <row r="912">
      <c r="A912" s="82"/>
      <c r="C912" s="2"/>
    </row>
    <row r="913">
      <c r="A913" s="82"/>
      <c r="C913" s="2"/>
    </row>
    <row r="914">
      <c r="A914" s="82"/>
      <c r="C914" s="2"/>
    </row>
    <row r="915">
      <c r="A915" s="82"/>
      <c r="C915" s="2"/>
    </row>
    <row r="916">
      <c r="A916" s="82"/>
      <c r="C916" s="2"/>
    </row>
    <row r="917">
      <c r="A917" s="82"/>
      <c r="C917" s="2"/>
    </row>
    <row r="918">
      <c r="A918" s="82"/>
      <c r="C918" s="2"/>
    </row>
    <row r="919">
      <c r="A919" s="82"/>
      <c r="C919" s="2"/>
    </row>
    <row r="920">
      <c r="A920" s="82"/>
      <c r="C920" s="2"/>
    </row>
    <row r="921">
      <c r="A921" s="82"/>
      <c r="C921" s="2"/>
    </row>
    <row r="922">
      <c r="A922" s="82"/>
      <c r="C922" s="2"/>
    </row>
    <row r="923">
      <c r="A923" s="82"/>
      <c r="C923" s="2"/>
    </row>
    <row r="924">
      <c r="A924" s="82"/>
      <c r="C924" s="2"/>
    </row>
    <row r="925">
      <c r="A925" s="82"/>
      <c r="C925" s="2"/>
    </row>
    <row r="926">
      <c r="A926" s="82"/>
      <c r="C926" s="2"/>
    </row>
    <row r="927">
      <c r="A927" s="82"/>
      <c r="C927" s="2"/>
    </row>
    <row r="928">
      <c r="A928" s="82"/>
      <c r="C928" s="2"/>
    </row>
    <row r="929">
      <c r="A929" s="82"/>
      <c r="C929" s="2"/>
    </row>
    <row r="930">
      <c r="A930" s="82"/>
      <c r="C930" s="2"/>
    </row>
    <row r="931">
      <c r="A931" s="82"/>
      <c r="C931" s="2"/>
    </row>
    <row r="932">
      <c r="A932" s="82"/>
      <c r="C932" s="2"/>
    </row>
    <row r="933">
      <c r="A933" s="82"/>
      <c r="C933" s="2"/>
    </row>
    <row r="934">
      <c r="A934" s="82"/>
      <c r="C934" s="2"/>
    </row>
    <row r="935">
      <c r="A935" s="82"/>
      <c r="C935" s="2"/>
    </row>
    <row r="936">
      <c r="A936" s="82"/>
      <c r="C936" s="2"/>
    </row>
    <row r="937">
      <c r="A937" s="82"/>
      <c r="C937" s="2"/>
    </row>
    <row r="938">
      <c r="A938" s="82"/>
      <c r="C938" s="2"/>
    </row>
    <row r="939">
      <c r="A939" s="82"/>
      <c r="C939" s="2"/>
    </row>
    <row r="940">
      <c r="A940" s="82"/>
      <c r="C940" s="2"/>
    </row>
    <row r="941">
      <c r="A941" s="82"/>
      <c r="C941" s="2"/>
    </row>
    <row r="942">
      <c r="A942" s="82"/>
      <c r="C942" s="2"/>
    </row>
    <row r="943">
      <c r="A943" s="82"/>
      <c r="C943" s="2"/>
    </row>
    <row r="944">
      <c r="A944" s="82"/>
      <c r="C944" s="2"/>
    </row>
    <row r="945">
      <c r="A945" s="82"/>
      <c r="C945" s="2"/>
    </row>
    <row r="946">
      <c r="A946" s="82"/>
      <c r="C946" s="2"/>
    </row>
    <row r="947">
      <c r="A947" s="82"/>
      <c r="C947" s="2"/>
    </row>
    <row r="948">
      <c r="A948" s="82"/>
      <c r="C948" s="2"/>
    </row>
    <row r="949">
      <c r="A949" s="82"/>
      <c r="C949" s="2"/>
    </row>
    <row r="950">
      <c r="A950" s="82"/>
      <c r="C950" s="2"/>
    </row>
    <row r="951">
      <c r="A951" s="82"/>
      <c r="C951" s="2"/>
    </row>
    <row r="952">
      <c r="A952" s="82"/>
      <c r="C952" s="2"/>
    </row>
    <row r="953">
      <c r="A953" s="82"/>
      <c r="C953" s="2"/>
    </row>
    <row r="954">
      <c r="A954" s="82"/>
      <c r="C954" s="2"/>
    </row>
    <row r="955">
      <c r="A955" s="82"/>
      <c r="C955" s="2"/>
    </row>
    <row r="956">
      <c r="A956" s="82"/>
      <c r="C956" s="2"/>
    </row>
    <row r="957">
      <c r="A957" s="82"/>
      <c r="C957" s="2"/>
    </row>
    <row r="958">
      <c r="A958" s="82"/>
      <c r="C958" s="2"/>
    </row>
    <row r="959">
      <c r="A959" s="82"/>
      <c r="C959" s="2"/>
    </row>
    <row r="960">
      <c r="A960" s="82"/>
      <c r="C960" s="2"/>
    </row>
    <row r="961">
      <c r="A961" s="82"/>
      <c r="C961" s="2"/>
    </row>
    <row r="962">
      <c r="A962" s="82"/>
      <c r="C962" s="2"/>
    </row>
    <row r="963">
      <c r="A963" s="82"/>
      <c r="C963" s="2"/>
    </row>
    <row r="964">
      <c r="A964" s="82"/>
      <c r="C964" s="2"/>
    </row>
    <row r="965">
      <c r="A965" s="82"/>
      <c r="C965" s="2"/>
    </row>
    <row r="966">
      <c r="A966" s="82"/>
      <c r="C966" s="2"/>
    </row>
    <row r="967">
      <c r="A967" s="82"/>
      <c r="C967" s="2"/>
    </row>
    <row r="968">
      <c r="A968" s="82"/>
      <c r="C968" s="2"/>
    </row>
    <row r="969">
      <c r="A969" s="82"/>
      <c r="C969" s="2"/>
    </row>
    <row r="970">
      <c r="A970" s="82"/>
      <c r="C970" s="2"/>
    </row>
    <row r="971">
      <c r="A971" s="82"/>
      <c r="C971" s="2"/>
    </row>
    <row r="972">
      <c r="A972" s="82"/>
      <c r="C972" s="2"/>
    </row>
    <row r="973">
      <c r="A973" s="82"/>
      <c r="C973" s="2"/>
    </row>
    <row r="974">
      <c r="A974" s="82"/>
      <c r="C974" s="2"/>
    </row>
    <row r="975">
      <c r="A975" s="82"/>
      <c r="C975" s="2"/>
    </row>
    <row r="976">
      <c r="A976" s="82"/>
      <c r="C976" s="2"/>
    </row>
    <row r="977">
      <c r="A977" s="82"/>
      <c r="C977" s="2"/>
    </row>
    <row r="978">
      <c r="A978" s="82"/>
      <c r="C978" s="2"/>
    </row>
    <row r="979">
      <c r="A979" s="82"/>
      <c r="C979" s="2"/>
    </row>
    <row r="980">
      <c r="A980" s="82"/>
      <c r="C980" s="2"/>
    </row>
    <row r="981">
      <c r="A981" s="82"/>
      <c r="C981" s="2"/>
    </row>
    <row r="982">
      <c r="A982" s="82"/>
      <c r="C982" s="2"/>
    </row>
    <row r="983">
      <c r="A983" s="82"/>
      <c r="C983" s="2"/>
    </row>
    <row r="984">
      <c r="A984" s="82"/>
      <c r="C984" s="2"/>
    </row>
    <row r="985">
      <c r="A985" s="82"/>
      <c r="C985" s="2"/>
    </row>
    <row r="986">
      <c r="A986" s="82"/>
      <c r="C986" s="2"/>
    </row>
    <row r="987">
      <c r="A987" s="82"/>
      <c r="C987" s="2"/>
    </row>
    <row r="988">
      <c r="A988" s="82"/>
      <c r="C988" s="2"/>
    </row>
    <row r="989">
      <c r="A989" s="82"/>
      <c r="C989" s="2"/>
    </row>
    <row r="990">
      <c r="A990" s="82"/>
      <c r="C990" s="2"/>
    </row>
    <row r="991">
      <c r="A991" s="82"/>
      <c r="C991" s="2"/>
    </row>
    <row r="992">
      <c r="A992" s="82"/>
      <c r="C992" s="2"/>
    </row>
    <row r="993">
      <c r="A993" s="82"/>
      <c r="C993" s="2"/>
    </row>
    <row r="994">
      <c r="A994" s="82"/>
      <c r="C994" s="2"/>
    </row>
    <row r="995">
      <c r="A995" s="82"/>
      <c r="C995" s="2"/>
    </row>
    <row r="996">
      <c r="A996" s="82"/>
      <c r="C996" s="2"/>
    </row>
    <row r="997">
      <c r="A997" s="82"/>
      <c r="C997" s="2"/>
    </row>
    <row r="998">
      <c r="A998" s="82"/>
      <c r="C998" s="2"/>
    </row>
    <row r="999">
      <c r="A999" s="82"/>
      <c r="C999" s="2"/>
    </row>
    <row r="1000">
      <c r="A1000" s="82"/>
      <c r="C1000" s="2"/>
    </row>
  </sheetData>
  <printOptions gridLines="1" horizontalCentered="1"/>
  <pageMargins bottom="0.75" footer="0.0" header="0.0" left="0.7" right="0.7" top="0.75"/>
  <pageSetup cellComments="atEnd" orientation="portrait" pageOrder="overThenDown"/>
  <drawing r:id="rId4"/>
  <legacy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75"/>
    <col customWidth="1" min="5" max="5" width="40.13"/>
  </cols>
  <sheetData>
    <row r="1">
      <c r="A1" s="80" t="s">
        <v>7</v>
      </c>
      <c r="B1" s="5" t="s">
        <v>62</v>
      </c>
      <c r="C1" s="8" t="s">
        <v>660</v>
      </c>
      <c r="D1" s="8" t="s">
        <v>48</v>
      </c>
      <c r="E1" s="9"/>
      <c r="F1" s="66" t="s">
        <v>15</v>
      </c>
      <c r="G1" s="31">
        <f>sum(D2:D9991)</f>
        <v>65.77</v>
      </c>
    </row>
    <row r="2">
      <c r="A2" s="65">
        <v>45666.0</v>
      </c>
      <c r="B2" s="5" t="s">
        <v>21</v>
      </c>
      <c r="C2" s="8" t="s">
        <v>80</v>
      </c>
      <c r="D2" s="8">
        <v>-50000.0</v>
      </c>
      <c r="E2" s="91" t="s">
        <v>661</v>
      </c>
      <c r="F2" s="9"/>
      <c r="G2" s="9"/>
    </row>
    <row r="3">
      <c r="A3" s="65">
        <v>45666.0</v>
      </c>
      <c r="B3" s="5" t="s">
        <v>662</v>
      </c>
      <c r="C3" s="8" t="s">
        <v>71</v>
      </c>
      <c r="D3" s="8">
        <v>50000.0</v>
      </c>
      <c r="E3" s="91" t="s">
        <v>661</v>
      </c>
      <c r="F3" s="9"/>
      <c r="G3" s="9"/>
    </row>
    <row r="4">
      <c r="A4" s="65">
        <v>45244.0</v>
      </c>
      <c r="B4" s="5" t="s">
        <v>663</v>
      </c>
      <c r="C4" s="8"/>
      <c r="D4" s="8">
        <v>36.14</v>
      </c>
      <c r="E4" s="9"/>
      <c r="F4" s="9"/>
      <c r="G4" s="9"/>
    </row>
    <row r="5">
      <c r="A5" s="92">
        <v>45471.0</v>
      </c>
      <c r="B5" s="5" t="s">
        <v>664</v>
      </c>
      <c r="C5" s="5" t="s">
        <v>80</v>
      </c>
      <c r="D5" s="8">
        <v>-6000.0</v>
      </c>
      <c r="E5" s="91" t="s">
        <v>661</v>
      </c>
      <c r="F5" s="9"/>
      <c r="G5" s="9"/>
    </row>
    <row r="6">
      <c r="A6" s="92">
        <v>45489.0</v>
      </c>
      <c r="B6" s="5" t="s">
        <v>665</v>
      </c>
      <c r="C6" s="5" t="s">
        <v>80</v>
      </c>
      <c r="D6" s="8">
        <v>-5000.0</v>
      </c>
      <c r="E6" s="91" t="s">
        <v>661</v>
      </c>
      <c r="F6" s="9"/>
      <c r="G6" s="9"/>
    </row>
    <row r="7">
      <c r="A7" s="92">
        <v>45502.0</v>
      </c>
      <c r="B7" s="5" t="s">
        <v>666</v>
      </c>
      <c r="C7" s="5" t="s">
        <v>80</v>
      </c>
      <c r="D7" s="8">
        <v>-5000.0</v>
      </c>
      <c r="E7" s="91" t="s">
        <v>661</v>
      </c>
      <c r="F7" s="9"/>
      <c r="G7" s="9"/>
    </row>
    <row r="8">
      <c r="A8" s="92">
        <v>45523.0</v>
      </c>
      <c r="B8" s="5" t="s">
        <v>667</v>
      </c>
      <c r="C8" s="5" t="s">
        <v>71</v>
      </c>
      <c r="D8" s="8">
        <v>5000.0</v>
      </c>
      <c r="E8" s="91" t="s">
        <v>661</v>
      </c>
      <c r="F8" s="9"/>
      <c r="G8" s="9"/>
    </row>
    <row r="9">
      <c r="A9" s="92">
        <v>45523.0</v>
      </c>
      <c r="B9" s="5" t="s">
        <v>668</v>
      </c>
      <c r="C9" s="5" t="s">
        <v>71</v>
      </c>
      <c r="D9" s="8">
        <v>5000.0</v>
      </c>
      <c r="E9" s="91" t="s">
        <v>661</v>
      </c>
      <c r="F9" s="9"/>
      <c r="G9" s="9"/>
    </row>
    <row r="10">
      <c r="A10" s="92">
        <v>45523.0</v>
      </c>
      <c r="B10" s="5" t="s">
        <v>668</v>
      </c>
      <c r="C10" s="5" t="s">
        <v>71</v>
      </c>
      <c r="D10" s="8">
        <v>6000.0</v>
      </c>
      <c r="E10" s="91" t="s">
        <v>661</v>
      </c>
      <c r="F10" s="9"/>
      <c r="G10" s="9"/>
    </row>
    <row r="11">
      <c r="A11" s="92">
        <v>45566.0</v>
      </c>
      <c r="B11" s="5" t="s">
        <v>669</v>
      </c>
      <c r="C11" s="5" t="s">
        <v>80</v>
      </c>
      <c r="D11" s="8"/>
      <c r="E11" s="5" t="s">
        <v>670</v>
      </c>
      <c r="F11" s="9"/>
      <c r="G11" s="9"/>
    </row>
    <row r="12">
      <c r="A12" s="92">
        <v>45666.0</v>
      </c>
      <c r="B12" s="5" t="s">
        <v>671</v>
      </c>
      <c r="C12" s="5" t="s">
        <v>672</v>
      </c>
      <c r="D12" s="8">
        <v>500.0</v>
      </c>
      <c r="E12" s="5" t="s">
        <v>673</v>
      </c>
      <c r="F12" s="9"/>
      <c r="G12" s="9"/>
    </row>
    <row r="13">
      <c r="A13" s="92">
        <v>45714.0</v>
      </c>
      <c r="B13" s="5" t="s">
        <v>674</v>
      </c>
      <c r="C13" s="5" t="s">
        <v>71</v>
      </c>
      <c r="D13" s="8">
        <v>100.0</v>
      </c>
      <c r="E13" s="5" t="s">
        <v>675</v>
      </c>
      <c r="F13" s="9"/>
      <c r="G13" s="9"/>
    </row>
    <row r="14">
      <c r="A14" s="92">
        <v>45737.0</v>
      </c>
      <c r="B14" s="5" t="s">
        <v>231</v>
      </c>
      <c r="C14" s="5" t="s">
        <v>71</v>
      </c>
      <c r="D14" s="8">
        <v>300.0</v>
      </c>
      <c r="E14" s="5" t="s">
        <v>676</v>
      </c>
      <c r="F14" s="9"/>
      <c r="G14" s="9"/>
    </row>
    <row r="15">
      <c r="A15" s="92">
        <v>45908.0</v>
      </c>
      <c r="B15" s="5" t="s">
        <v>677</v>
      </c>
      <c r="C15" s="5" t="s">
        <v>678</v>
      </c>
      <c r="D15" s="8">
        <v>700.0</v>
      </c>
      <c r="E15" s="5" t="s">
        <v>679</v>
      </c>
      <c r="F15" s="9"/>
      <c r="G15" s="9"/>
    </row>
    <row r="16">
      <c r="A16" s="92">
        <v>46080.0</v>
      </c>
      <c r="B16" s="5" t="s">
        <v>21</v>
      </c>
      <c r="C16" s="5" t="s">
        <v>80</v>
      </c>
      <c r="D16" s="8">
        <v>-3500.0</v>
      </c>
      <c r="E16" s="91" t="s">
        <v>661</v>
      </c>
      <c r="F16" s="9"/>
      <c r="G16" s="9"/>
    </row>
    <row r="17">
      <c r="A17" s="92">
        <v>46080.0</v>
      </c>
      <c r="B17" s="5" t="s">
        <v>231</v>
      </c>
      <c r="C17" s="5" t="s">
        <v>71</v>
      </c>
      <c r="D17" s="8">
        <v>600.0</v>
      </c>
      <c r="E17" s="9"/>
      <c r="F17" s="9"/>
      <c r="G17" s="9"/>
    </row>
    <row r="18">
      <c r="A18" s="92">
        <v>46080.0</v>
      </c>
      <c r="B18" s="5" t="s">
        <v>231</v>
      </c>
      <c r="C18" s="5" t="s">
        <v>71</v>
      </c>
      <c r="D18" s="8">
        <v>3500.0</v>
      </c>
      <c r="E18" s="91" t="s">
        <v>661</v>
      </c>
      <c r="F18" s="9"/>
      <c r="G18" s="9"/>
    </row>
    <row r="19">
      <c r="A19" s="79">
        <v>46090.0</v>
      </c>
      <c r="B19" s="4" t="s">
        <v>130</v>
      </c>
      <c r="C19" s="4" t="s">
        <v>71</v>
      </c>
      <c r="D19" s="12">
        <v>13000.0</v>
      </c>
    </row>
    <row r="20">
      <c r="A20" s="79">
        <v>46091.0</v>
      </c>
      <c r="B20" s="4" t="s">
        <v>680</v>
      </c>
      <c r="C20" s="4" t="s">
        <v>71</v>
      </c>
      <c r="D20" s="12">
        <v>30.0</v>
      </c>
    </row>
    <row r="21">
      <c r="A21" s="79">
        <v>46125.0</v>
      </c>
      <c r="B21" s="4" t="s">
        <v>681</v>
      </c>
      <c r="C21" s="4" t="s">
        <v>80</v>
      </c>
      <c r="D21" s="12">
        <v>-3200.37</v>
      </c>
    </row>
    <row r="22">
      <c r="A22" s="79">
        <v>46136.0</v>
      </c>
      <c r="B22" s="4" t="s">
        <v>21</v>
      </c>
      <c r="C22" s="4" t="s">
        <v>80</v>
      </c>
      <c r="D22" s="12">
        <v>-12000.0</v>
      </c>
    </row>
    <row r="23">
      <c r="D23" s="2"/>
    </row>
    <row r="24">
      <c r="D24" s="2"/>
    </row>
    <row r="25">
      <c r="D25" s="2"/>
    </row>
    <row r="26">
      <c r="D26" s="2"/>
    </row>
    <row r="27">
      <c r="D27" s="2"/>
    </row>
    <row r="28">
      <c r="D28" s="2"/>
    </row>
    <row r="29">
      <c r="D29" s="2"/>
    </row>
    <row r="30">
      <c r="D30" s="2"/>
    </row>
    <row r="31">
      <c r="D31" s="2"/>
    </row>
    <row r="32">
      <c r="D32" s="2"/>
    </row>
    <row r="33">
      <c r="D33" s="2"/>
    </row>
    <row r="34">
      <c r="D34" s="2"/>
    </row>
    <row r="35">
      <c r="D35" s="2"/>
    </row>
    <row r="36">
      <c r="D36" s="2"/>
    </row>
    <row r="37">
      <c r="D37" s="2"/>
    </row>
    <row r="38">
      <c r="D38" s="2"/>
    </row>
    <row r="39">
      <c r="D39" s="2"/>
    </row>
    <row r="40">
      <c r="D40" s="2"/>
    </row>
    <row r="41">
      <c r="D41" s="2"/>
    </row>
    <row r="42">
      <c r="D42" s="2"/>
    </row>
    <row r="43">
      <c r="D43" s="2"/>
    </row>
    <row r="44">
      <c r="D44" s="2"/>
    </row>
    <row r="45">
      <c r="D45" s="2"/>
    </row>
    <row r="46">
      <c r="D46" s="2"/>
    </row>
    <row r="47">
      <c r="D47" s="2"/>
    </row>
    <row r="48">
      <c r="D48" s="2"/>
    </row>
    <row r="49">
      <c r="D49" s="2"/>
    </row>
    <row r="50">
      <c r="D50" s="2"/>
    </row>
    <row r="51">
      <c r="D51" s="2"/>
    </row>
    <row r="52">
      <c r="D52" s="2"/>
    </row>
    <row r="53">
      <c r="D53" s="2"/>
    </row>
    <row r="54">
      <c r="D54" s="2"/>
    </row>
    <row r="55">
      <c r="D55" s="2"/>
    </row>
    <row r="56">
      <c r="D56" s="2"/>
    </row>
    <row r="57">
      <c r="D57" s="2"/>
    </row>
    <row r="58">
      <c r="D58" s="2"/>
    </row>
    <row r="59">
      <c r="D59" s="2"/>
    </row>
    <row r="60">
      <c r="D60" s="2"/>
    </row>
    <row r="61">
      <c r="D61" s="2"/>
    </row>
    <row r="62">
      <c r="D62" s="2"/>
    </row>
    <row r="63">
      <c r="D63" s="2"/>
    </row>
    <row r="64">
      <c r="D64" s="2"/>
    </row>
    <row r="65">
      <c r="D65" s="2"/>
    </row>
    <row r="66">
      <c r="D66" s="2"/>
    </row>
    <row r="67">
      <c r="D67" s="2"/>
    </row>
    <row r="68">
      <c r="D68" s="2"/>
    </row>
    <row r="69">
      <c r="D69" s="2"/>
    </row>
    <row r="70">
      <c r="D70" s="2"/>
    </row>
    <row r="71">
      <c r="D71" s="2"/>
    </row>
    <row r="72">
      <c r="D72" s="2"/>
    </row>
    <row r="73">
      <c r="D73" s="2"/>
    </row>
    <row r="74">
      <c r="D74" s="2"/>
    </row>
    <row r="75">
      <c r="D75" s="2"/>
    </row>
    <row r="76">
      <c r="D76" s="2"/>
    </row>
    <row r="77">
      <c r="D77" s="2"/>
    </row>
    <row r="78">
      <c r="D78" s="2"/>
    </row>
    <row r="79">
      <c r="D79" s="2"/>
    </row>
    <row r="80">
      <c r="D80" s="2"/>
    </row>
    <row r="81">
      <c r="D81" s="2"/>
    </row>
    <row r="82">
      <c r="D82" s="2"/>
    </row>
    <row r="83">
      <c r="D83" s="2"/>
    </row>
    <row r="84">
      <c r="D84" s="2"/>
    </row>
    <row r="85">
      <c r="D85" s="2"/>
    </row>
    <row r="86">
      <c r="D86" s="2"/>
    </row>
    <row r="87">
      <c r="D87" s="2"/>
    </row>
    <row r="88">
      <c r="D88" s="2"/>
    </row>
    <row r="89">
      <c r="D89" s="2"/>
    </row>
    <row r="90">
      <c r="D90" s="2"/>
    </row>
    <row r="91">
      <c r="D91" s="2"/>
    </row>
    <row r="92">
      <c r="D92" s="2"/>
    </row>
    <row r="93">
      <c r="D93" s="2"/>
    </row>
    <row r="94">
      <c r="D94" s="2"/>
    </row>
    <row r="95">
      <c r="D95" s="2"/>
    </row>
    <row r="96">
      <c r="D96" s="2"/>
    </row>
    <row r="97">
      <c r="D97" s="2"/>
    </row>
    <row r="98">
      <c r="D98" s="2"/>
    </row>
    <row r="99">
      <c r="D99" s="2"/>
    </row>
    <row r="100">
      <c r="D100" s="2"/>
    </row>
    <row r="101">
      <c r="D101" s="2"/>
    </row>
    <row r="102">
      <c r="D102" s="2"/>
    </row>
    <row r="103">
      <c r="D103" s="2"/>
    </row>
    <row r="104">
      <c r="D104" s="2"/>
    </row>
    <row r="105">
      <c r="D105" s="2"/>
    </row>
    <row r="106">
      <c r="D106" s="2"/>
    </row>
    <row r="107">
      <c r="D107" s="2"/>
    </row>
    <row r="108">
      <c r="D108" s="2"/>
    </row>
    <row r="109">
      <c r="D109" s="2"/>
    </row>
    <row r="110">
      <c r="D110" s="2"/>
    </row>
    <row r="111">
      <c r="D111" s="2"/>
    </row>
    <row r="112">
      <c r="D112" s="2"/>
    </row>
    <row r="113">
      <c r="D113" s="2"/>
    </row>
    <row r="114">
      <c r="D114" s="2"/>
    </row>
    <row r="115">
      <c r="D115" s="2"/>
    </row>
    <row r="116">
      <c r="D116" s="2"/>
    </row>
    <row r="117">
      <c r="D117" s="2"/>
    </row>
    <row r="118">
      <c r="D118" s="2"/>
    </row>
    <row r="119">
      <c r="D119" s="2"/>
    </row>
    <row r="120">
      <c r="D120" s="2"/>
    </row>
    <row r="121">
      <c r="D121" s="2"/>
    </row>
    <row r="122">
      <c r="D122" s="2"/>
    </row>
    <row r="123">
      <c r="D123" s="2"/>
    </row>
    <row r="124">
      <c r="D124" s="2"/>
    </row>
    <row r="125">
      <c r="D125" s="2"/>
    </row>
    <row r="126">
      <c r="D126" s="2"/>
    </row>
    <row r="127">
      <c r="D127" s="2"/>
    </row>
    <row r="128">
      <c r="D128" s="2"/>
    </row>
    <row r="129">
      <c r="D129" s="2"/>
    </row>
    <row r="130">
      <c r="D130" s="2"/>
    </row>
    <row r="131">
      <c r="D131" s="2"/>
    </row>
    <row r="132">
      <c r="D132" s="2"/>
    </row>
    <row r="133">
      <c r="D133" s="2"/>
    </row>
    <row r="134">
      <c r="D134" s="2"/>
    </row>
    <row r="135">
      <c r="D135" s="2"/>
    </row>
    <row r="136">
      <c r="D136" s="2"/>
    </row>
    <row r="137">
      <c r="D137" s="2"/>
    </row>
    <row r="138">
      <c r="D138" s="2"/>
    </row>
    <row r="139">
      <c r="D139" s="2"/>
    </row>
    <row r="140">
      <c r="D140" s="2"/>
    </row>
    <row r="141">
      <c r="D141" s="2"/>
    </row>
    <row r="142">
      <c r="D142" s="2"/>
    </row>
    <row r="143">
      <c r="D143" s="2"/>
    </row>
    <row r="144">
      <c r="D144" s="2"/>
    </row>
    <row r="145">
      <c r="D145" s="2"/>
    </row>
    <row r="146">
      <c r="D146" s="2"/>
    </row>
    <row r="147">
      <c r="D147" s="2"/>
    </row>
    <row r="148">
      <c r="D148" s="2"/>
    </row>
    <row r="149">
      <c r="D149" s="2"/>
    </row>
    <row r="150">
      <c r="D150" s="2"/>
    </row>
    <row r="151">
      <c r="D151" s="2"/>
    </row>
    <row r="152">
      <c r="D152" s="2"/>
    </row>
    <row r="153">
      <c r="D153" s="2"/>
    </row>
    <row r="154">
      <c r="D154" s="2"/>
    </row>
    <row r="155">
      <c r="D155" s="2"/>
    </row>
    <row r="156">
      <c r="D156" s="2"/>
    </row>
    <row r="157">
      <c r="D157" s="2"/>
    </row>
    <row r="158">
      <c r="D158" s="2"/>
    </row>
    <row r="159">
      <c r="D159" s="2"/>
    </row>
    <row r="160">
      <c r="D160" s="2"/>
    </row>
    <row r="161">
      <c r="D161" s="2"/>
    </row>
    <row r="162">
      <c r="D162" s="2"/>
    </row>
    <row r="163">
      <c r="D163" s="2"/>
    </row>
    <row r="164">
      <c r="D164" s="2"/>
    </row>
    <row r="165">
      <c r="D165" s="2"/>
    </row>
    <row r="166">
      <c r="D166" s="2"/>
    </row>
    <row r="167">
      <c r="D167" s="2"/>
    </row>
    <row r="168">
      <c r="D168" s="2"/>
    </row>
    <row r="169">
      <c r="D169" s="2"/>
    </row>
    <row r="170">
      <c r="D170" s="2"/>
    </row>
    <row r="171">
      <c r="D171" s="2"/>
    </row>
    <row r="172">
      <c r="D172" s="2"/>
    </row>
    <row r="173">
      <c r="D173" s="2"/>
    </row>
    <row r="174">
      <c r="D174" s="2"/>
    </row>
    <row r="175">
      <c r="D175" s="2"/>
    </row>
    <row r="176">
      <c r="D176" s="2"/>
    </row>
    <row r="177">
      <c r="D177" s="2"/>
    </row>
    <row r="178">
      <c r="D178" s="2"/>
    </row>
    <row r="179">
      <c r="D179" s="2"/>
    </row>
    <row r="180">
      <c r="D180" s="2"/>
    </row>
    <row r="181">
      <c r="D181" s="2"/>
    </row>
    <row r="182">
      <c r="D182" s="2"/>
    </row>
    <row r="183">
      <c r="D183" s="2"/>
    </row>
    <row r="184">
      <c r="D184" s="2"/>
    </row>
    <row r="185">
      <c r="D185" s="2"/>
    </row>
    <row r="186">
      <c r="D186" s="2"/>
    </row>
    <row r="187">
      <c r="D187" s="2"/>
    </row>
    <row r="188">
      <c r="D188" s="2"/>
    </row>
    <row r="189">
      <c r="D189" s="2"/>
    </row>
    <row r="190">
      <c r="D190" s="2"/>
    </row>
    <row r="191">
      <c r="D191" s="2"/>
    </row>
    <row r="192">
      <c r="D192" s="2"/>
    </row>
    <row r="193">
      <c r="D193" s="2"/>
    </row>
    <row r="194">
      <c r="D194" s="2"/>
    </row>
    <row r="195">
      <c r="D195" s="2"/>
    </row>
    <row r="196">
      <c r="D196" s="2"/>
    </row>
    <row r="197">
      <c r="D197" s="2"/>
    </row>
    <row r="198">
      <c r="D198" s="2"/>
    </row>
    <row r="199">
      <c r="D199" s="2"/>
    </row>
    <row r="200">
      <c r="D200" s="2"/>
    </row>
    <row r="201">
      <c r="D201" s="2"/>
    </row>
    <row r="202">
      <c r="D202" s="2"/>
    </row>
    <row r="203">
      <c r="D203" s="2"/>
    </row>
    <row r="204">
      <c r="D204" s="2"/>
    </row>
    <row r="205">
      <c r="D205" s="2"/>
    </row>
    <row r="206">
      <c r="D206" s="2"/>
    </row>
    <row r="207">
      <c r="D207" s="2"/>
    </row>
    <row r="208">
      <c r="D208" s="2"/>
    </row>
    <row r="209">
      <c r="D209" s="2"/>
    </row>
    <row r="210">
      <c r="D210" s="2"/>
    </row>
    <row r="211">
      <c r="D211" s="2"/>
    </row>
    <row r="212">
      <c r="D212" s="2"/>
    </row>
    <row r="213">
      <c r="D213" s="2"/>
    </row>
    <row r="214">
      <c r="D214" s="2"/>
    </row>
    <row r="215">
      <c r="D215" s="2"/>
    </row>
    <row r="216">
      <c r="D216" s="2"/>
    </row>
    <row r="217">
      <c r="D217" s="2"/>
    </row>
    <row r="218">
      <c r="D218" s="2"/>
    </row>
    <row r="219">
      <c r="D219" s="2"/>
    </row>
    <row r="220">
      <c r="D220" s="2"/>
    </row>
    <row r="221">
      <c r="D221" s="2"/>
    </row>
    <row r="222">
      <c r="D222" s="2"/>
    </row>
    <row r="223">
      <c r="D223" s="2"/>
    </row>
    <row r="224">
      <c r="D224" s="2"/>
    </row>
    <row r="225">
      <c r="D225" s="2"/>
    </row>
    <row r="226">
      <c r="D226" s="2"/>
    </row>
    <row r="227">
      <c r="D227" s="2"/>
    </row>
    <row r="228">
      <c r="D228" s="2"/>
    </row>
    <row r="229">
      <c r="D229" s="2"/>
    </row>
    <row r="230">
      <c r="D230" s="2"/>
    </row>
    <row r="231">
      <c r="D231" s="2"/>
    </row>
    <row r="232">
      <c r="D232" s="2"/>
    </row>
    <row r="233">
      <c r="D233" s="2"/>
    </row>
    <row r="234">
      <c r="D234" s="2"/>
    </row>
    <row r="235">
      <c r="D235" s="2"/>
    </row>
    <row r="236">
      <c r="D236" s="2"/>
    </row>
    <row r="237">
      <c r="D237" s="2"/>
    </row>
    <row r="238">
      <c r="D238" s="2"/>
    </row>
    <row r="239">
      <c r="D239" s="2"/>
    </row>
    <row r="240">
      <c r="D240" s="2"/>
    </row>
    <row r="241">
      <c r="D241" s="2"/>
    </row>
    <row r="242">
      <c r="D242" s="2"/>
    </row>
    <row r="243">
      <c r="D243" s="2"/>
    </row>
    <row r="244">
      <c r="D244" s="2"/>
    </row>
    <row r="245">
      <c r="D245" s="2"/>
    </row>
    <row r="246">
      <c r="D246" s="2"/>
    </row>
    <row r="247">
      <c r="D247" s="2"/>
    </row>
    <row r="248">
      <c r="D248" s="2"/>
    </row>
    <row r="249">
      <c r="D249" s="2"/>
    </row>
    <row r="250">
      <c r="D250" s="2"/>
    </row>
    <row r="251">
      <c r="D251" s="2"/>
    </row>
    <row r="252">
      <c r="D252" s="2"/>
    </row>
    <row r="253">
      <c r="D253" s="2"/>
    </row>
    <row r="254">
      <c r="D254" s="2"/>
    </row>
    <row r="255">
      <c r="D255" s="2"/>
    </row>
    <row r="256">
      <c r="D256" s="2"/>
    </row>
    <row r="257">
      <c r="D257" s="2"/>
    </row>
    <row r="258">
      <c r="D258" s="2"/>
    </row>
    <row r="259">
      <c r="D259" s="2"/>
    </row>
    <row r="260">
      <c r="D260" s="2"/>
    </row>
    <row r="261">
      <c r="D261" s="2"/>
    </row>
    <row r="262">
      <c r="D262" s="2"/>
    </row>
    <row r="263">
      <c r="D263" s="2"/>
    </row>
    <row r="264">
      <c r="D264" s="2"/>
    </row>
    <row r="265">
      <c r="D265" s="2"/>
    </row>
    <row r="266">
      <c r="D266" s="2"/>
    </row>
    <row r="267">
      <c r="D267" s="2"/>
    </row>
    <row r="268">
      <c r="D268" s="2"/>
    </row>
    <row r="269">
      <c r="D269" s="2"/>
    </row>
    <row r="270">
      <c r="D270" s="2"/>
    </row>
    <row r="271">
      <c r="D271" s="2"/>
    </row>
    <row r="272">
      <c r="D272" s="2"/>
    </row>
    <row r="273">
      <c r="D273" s="2"/>
    </row>
    <row r="274">
      <c r="D274" s="2"/>
    </row>
    <row r="275">
      <c r="D275" s="2"/>
    </row>
    <row r="276">
      <c r="D276" s="2"/>
    </row>
    <row r="277">
      <c r="D277" s="2"/>
    </row>
    <row r="278">
      <c r="D278" s="2"/>
    </row>
    <row r="279">
      <c r="D279" s="2"/>
    </row>
    <row r="280">
      <c r="D280" s="2"/>
    </row>
    <row r="281">
      <c r="D281" s="2"/>
    </row>
    <row r="282">
      <c r="D282" s="2"/>
    </row>
    <row r="283">
      <c r="D283" s="2"/>
    </row>
    <row r="284">
      <c r="D284" s="2"/>
    </row>
    <row r="285">
      <c r="D285" s="2"/>
    </row>
    <row r="286">
      <c r="D286" s="2"/>
    </row>
    <row r="287">
      <c r="D287" s="2"/>
    </row>
    <row r="288">
      <c r="D288" s="2"/>
    </row>
    <row r="289">
      <c r="D289" s="2"/>
    </row>
    <row r="290">
      <c r="D290" s="2"/>
    </row>
    <row r="291">
      <c r="D291" s="2"/>
    </row>
    <row r="292">
      <c r="D292" s="2"/>
    </row>
    <row r="293">
      <c r="D293" s="2"/>
    </row>
    <row r="294">
      <c r="D294" s="2"/>
    </row>
    <row r="295">
      <c r="D295" s="2"/>
    </row>
    <row r="296">
      <c r="D296" s="2"/>
    </row>
    <row r="297">
      <c r="D297" s="2"/>
    </row>
    <row r="298">
      <c r="D298" s="2"/>
    </row>
    <row r="299">
      <c r="D299" s="2"/>
    </row>
    <row r="300">
      <c r="D300" s="2"/>
    </row>
    <row r="301">
      <c r="D301" s="2"/>
    </row>
    <row r="302">
      <c r="D302" s="2"/>
    </row>
    <row r="303">
      <c r="D303" s="2"/>
    </row>
    <row r="304">
      <c r="D304" s="2"/>
    </row>
    <row r="305">
      <c r="D305" s="2"/>
    </row>
    <row r="306">
      <c r="D306" s="2"/>
    </row>
    <row r="307">
      <c r="D307" s="2"/>
    </row>
    <row r="308">
      <c r="D308" s="2"/>
    </row>
    <row r="309">
      <c r="D309" s="2"/>
    </row>
    <row r="310">
      <c r="D310" s="2"/>
    </row>
    <row r="311">
      <c r="D311" s="2"/>
    </row>
    <row r="312">
      <c r="D312" s="2"/>
    </row>
    <row r="313">
      <c r="D313" s="2"/>
    </row>
    <row r="314">
      <c r="D314" s="2"/>
    </row>
    <row r="315">
      <c r="D315" s="2"/>
    </row>
    <row r="316">
      <c r="D316" s="2"/>
    </row>
    <row r="317">
      <c r="D317" s="2"/>
    </row>
    <row r="318">
      <c r="D318" s="2"/>
    </row>
    <row r="319">
      <c r="D319" s="2"/>
    </row>
    <row r="320">
      <c r="D320" s="2"/>
    </row>
    <row r="321">
      <c r="D321" s="2"/>
    </row>
    <row r="322">
      <c r="D322" s="2"/>
    </row>
    <row r="323">
      <c r="D323" s="2"/>
    </row>
    <row r="324">
      <c r="D324" s="2"/>
    </row>
    <row r="325">
      <c r="D325" s="2"/>
    </row>
    <row r="326">
      <c r="D326" s="2"/>
    </row>
    <row r="327">
      <c r="D327" s="2"/>
    </row>
    <row r="328">
      <c r="D328" s="2"/>
    </row>
    <row r="329">
      <c r="D329" s="2"/>
    </row>
    <row r="330">
      <c r="D330" s="2"/>
    </row>
    <row r="331">
      <c r="D331" s="2"/>
    </row>
    <row r="332">
      <c r="D332" s="2"/>
    </row>
    <row r="333">
      <c r="D333" s="2"/>
    </row>
    <row r="334">
      <c r="D334" s="2"/>
    </row>
    <row r="335">
      <c r="D335" s="2"/>
    </row>
    <row r="336">
      <c r="D336" s="2"/>
    </row>
    <row r="337">
      <c r="D337" s="2"/>
    </row>
    <row r="338">
      <c r="D338" s="2"/>
    </row>
    <row r="339">
      <c r="D339" s="2"/>
    </row>
    <row r="340">
      <c r="D340" s="2"/>
    </row>
    <row r="341">
      <c r="D341" s="2"/>
    </row>
    <row r="342">
      <c r="D342" s="2"/>
    </row>
    <row r="343">
      <c r="D343" s="2"/>
    </row>
    <row r="344">
      <c r="D344" s="2"/>
    </row>
    <row r="345">
      <c r="D345" s="2"/>
    </row>
    <row r="346">
      <c r="D346" s="2"/>
    </row>
    <row r="347">
      <c r="D347" s="2"/>
    </row>
    <row r="348">
      <c r="D348" s="2"/>
    </row>
    <row r="349">
      <c r="D349" s="2"/>
    </row>
    <row r="350">
      <c r="D350" s="2"/>
    </row>
    <row r="351">
      <c r="D351" s="2"/>
    </row>
    <row r="352">
      <c r="D352" s="2"/>
    </row>
    <row r="353">
      <c r="D353" s="2"/>
    </row>
    <row r="354">
      <c r="D354" s="2"/>
    </row>
    <row r="355">
      <c r="D355" s="2"/>
    </row>
    <row r="356">
      <c r="D356" s="2"/>
    </row>
    <row r="357">
      <c r="D357" s="2"/>
    </row>
    <row r="358">
      <c r="D358" s="2"/>
    </row>
    <row r="359">
      <c r="D359" s="2"/>
    </row>
    <row r="360">
      <c r="D360" s="2"/>
    </row>
    <row r="361">
      <c r="D361" s="2"/>
    </row>
    <row r="362">
      <c r="D362" s="2"/>
    </row>
    <row r="363">
      <c r="D363" s="2"/>
    </row>
    <row r="364">
      <c r="D364" s="2"/>
    </row>
    <row r="365">
      <c r="D365" s="2"/>
    </row>
    <row r="366">
      <c r="D366" s="2"/>
    </row>
    <row r="367">
      <c r="D367" s="2"/>
    </row>
    <row r="368">
      <c r="D368" s="2"/>
    </row>
    <row r="369">
      <c r="D369" s="2"/>
    </row>
    <row r="370">
      <c r="D370" s="2"/>
    </row>
    <row r="371">
      <c r="D371" s="2"/>
    </row>
    <row r="372">
      <c r="D372" s="2"/>
    </row>
    <row r="373">
      <c r="D373" s="2"/>
    </row>
    <row r="374">
      <c r="D374" s="2"/>
    </row>
    <row r="375">
      <c r="D375" s="2"/>
    </row>
    <row r="376">
      <c r="D376" s="2"/>
    </row>
    <row r="377">
      <c r="D377" s="2"/>
    </row>
    <row r="378">
      <c r="D378" s="2"/>
    </row>
    <row r="379">
      <c r="D379" s="2"/>
    </row>
    <row r="380">
      <c r="D380" s="2"/>
    </row>
    <row r="381">
      <c r="D381" s="2"/>
    </row>
    <row r="382">
      <c r="D382" s="2"/>
    </row>
    <row r="383">
      <c r="D383" s="2"/>
    </row>
    <row r="384">
      <c r="D384" s="2"/>
    </row>
    <row r="385">
      <c r="D385" s="2"/>
    </row>
    <row r="386">
      <c r="D386" s="2"/>
    </row>
    <row r="387">
      <c r="D387" s="2"/>
    </row>
    <row r="388">
      <c r="D388" s="2"/>
    </row>
    <row r="389">
      <c r="D389" s="2"/>
    </row>
    <row r="390">
      <c r="D390" s="2"/>
    </row>
    <row r="391">
      <c r="D391" s="2"/>
    </row>
    <row r="392">
      <c r="D392" s="2"/>
    </row>
    <row r="393">
      <c r="D393" s="2"/>
    </row>
    <row r="394">
      <c r="D394" s="2"/>
    </row>
    <row r="395">
      <c r="D395" s="2"/>
    </row>
    <row r="396">
      <c r="D396" s="2"/>
    </row>
    <row r="397">
      <c r="D397" s="2"/>
    </row>
    <row r="398">
      <c r="D398" s="2"/>
    </row>
    <row r="399">
      <c r="D399" s="2"/>
    </row>
    <row r="400">
      <c r="D400" s="2"/>
    </row>
    <row r="401">
      <c r="D401" s="2"/>
    </row>
    <row r="402">
      <c r="D402" s="2"/>
    </row>
    <row r="403">
      <c r="D403" s="2"/>
    </row>
    <row r="404">
      <c r="D404" s="2"/>
    </row>
    <row r="405">
      <c r="D405" s="2"/>
    </row>
    <row r="406">
      <c r="D406" s="2"/>
    </row>
    <row r="407">
      <c r="D407" s="2"/>
    </row>
    <row r="408">
      <c r="D408" s="2"/>
    </row>
    <row r="409">
      <c r="D409" s="2"/>
    </row>
    <row r="410">
      <c r="D410" s="2"/>
    </row>
    <row r="411">
      <c r="D411" s="2"/>
    </row>
    <row r="412">
      <c r="D412" s="2"/>
    </row>
    <row r="413">
      <c r="D413" s="2"/>
    </row>
    <row r="414">
      <c r="D414" s="2"/>
    </row>
    <row r="415">
      <c r="D415" s="2"/>
    </row>
    <row r="416">
      <c r="D416" s="2"/>
    </row>
    <row r="417">
      <c r="D417" s="2"/>
    </row>
    <row r="418">
      <c r="D418" s="2"/>
    </row>
    <row r="419">
      <c r="D419" s="2"/>
    </row>
    <row r="420">
      <c r="D420" s="2"/>
    </row>
    <row r="421">
      <c r="D421" s="2"/>
    </row>
    <row r="422">
      <c r="D422" s="2"/>
    </row>
    <row r="423">
      <c r="D423" s="2"/>
    </row>
    <row r="424">
      <c r="D424" s="2"/>
    </row>
    <row r="425">
      <c r="D425" s="2"/>
    </row>
    <row r="426">
      <c r="D426" s="2"/>
    </row>
    <row r="427">
      <c r="D427" s="2"/>
    </row>
    <row r="428">
      <c r="D428" s="2"/>
    </row>
    <row r="429">
      <c r="D429" s="2"/>
    </row>
    <row r="430">
      <c r="D430" s="2"/>
    </row>
    <row r="431">
      <c r="D431" s="2"/>
    </row>
    <row r="432">
      <c r="D432" s="2"/>
    </row>
    <row r="433">
      <c r="D433" s="2"/>
    </row>
    <row r="434">
      <c r="D434" s="2"/>
    </row>
    <row r="435">
      <c r="D435" s="2"/>
    </row>
    <row r="436">
      <c r="D436" s="2"/>
    </row>
    <row r="437">
      <c r="D437" s="2"/>
    </row>
    <row r="438">
      <c r="D438" s="2"/>
    </row>
    <row r="439">
      <c r="D439" s="2"/>
    </row>
    <row r="440">
      <c r="D440" s="2"/>
    </row>
    <row r="441">
      <c r="D441" s="2"/>
    </row>
    <row r="442">
      <c r="D442" s="2"/>
    </row>
    <row r="443">
      <c r="D443" s="2"/>
    </row>
    <row r="444">
      <c r="D444" s="2"/>
    </row>
    <row r="445">
      <c r="D445" s="2"/>
    </row>
    <row r="446">
      <c r="D446" s="2"/>
    </row>
    <row r="447">
      <c r="D447" s="2"/>
    </row>
    <row r="448">
      <c r="D448" s="2"/>
    </row>
    <row r="449">
      <c r="D449" s="2"/>
    </row>
    <row r="450">
      <c r="D450" s="2"/>
    </row>
    <row r="451">
      <c r="D451" s="2"/>
    </row>
    <row r="452">
      <c r="D452" s="2"/>
    </row>
    <row r="453">
      <c r="D453" s="2"/>
    </row>
    <row r="454">
      <c r="D454" s="2"/>
    </row>
    <row r="455">
      <c r="D455" s="2"/>
    </row>
    <row r="456">
      <c r="D456" s="2"/>
    </row>
    <row r="457">
      <c r="D457" s="2"/>
    </row>
    <row r="458">
      <c r="D458" s="2"/>
    </row>
    <row r="459">
      <c r="D459" s="2"/>
    </row>
    <row r="460">
      <c r="D460" s="2"/>
    </row>
    <row r="461">
      <c r="D461" s="2"/>
    </row>
    <row r="462">
      <c r="D462" s="2"/>
    </row>
    <row r="463">
      <c r="D463" s="2"/>
    </row>
    <row r="464">
      <c r="D464" s="2"/>
    </row>
    <row r="465">
      <c r="D465" s="2"/>
    </row>
    <row r="466">
      <c r="D466" s="2"/>
    </row>
    <row r="467">
      <c r="D467" s="2"/>
    </row>
    <row r="468">
      <c r="D468" s="2"/>
    </row>
    <row r="469">
      <c r="D469" s="2"/>
    </row>
    <row r="470">
      <c r="D470" s="2"/>
    </row>
    <row r="471">
      <c r="D471" s="2"/>
    </row>
    <row r="472">
      <c r="D472" s="2"/>
    </row>
    <row r="473">
      <c r="D473" s="2"/>
    </row>
    <row r="474">
      <c r="D474" s="2"/>
    </row>
    <row r="475">
      <c r="D475" s="2"/>
    </row>
    <row r="476">
      <c r="D476" s="2"/>
    </row>
    <row r="477">
      <c r="D477" s="2"/>
    </row>
    <row r="478">
      <c r="D478" s="2"/>
    </row>
    <row r="479">
      <c r="D479" s="2"/>
    </row>
    <row r="480">
      <c r="D480" s="2"/>
    </row>
    <row r="481">
      <c r="D481" s="2"/>
    </row>
    <row r="482">
      <c r="D482" s="2"/>
    </row>
    <row r="483">
      <c r="D483" s="2"/>
    </row>
    <row r="484">
      <c r="D484" s="2"/>
    </row>
    <row r="485">
      <c r="D485" s="2"/>
    </row>
    <row r="486">
      <c r="D486" s="2"/>
    </row>
    <row r="487">
      <c r="D487" s="2"/>
    </row>
    <row r="488">
      <c r="D488" s="2"/>
    </row>
    <row r="489">
      <c r="D489" s="2"/>
    </row>
    <row r="490">
      <c r="D490" s="2"/>
    </row>
    <row r="491">
      <c r="D491" s="2"/>
    </row>
    <row r="492">
      <c r="D492" s="2"/>
    </row>
    <row r="493">
      <c r="D493" s="2"/>
    </row>
    <row r="494">
      <c r="D494" s="2"/>
    </row>
    <row r="495">
      <c r="D495" s="2"/>
    </row>
    <row r="496">
      <c r="D496" s="2"/>
    </row>
    <row r="497">
      <c r="D497" s="2"/>
    </row>
    <row r="498">
      <c r="D498" s="2"/>
    </row>
    <row r="499">
      <c r="D499" s="2"/>
    </row>
    <row r="500">
      <c r="D500" s="2"/>
    </row>
    <row r="501">
      <c r="D501" s="2"/>
    </row>
    <row r="502">
      <c r="D502" s="2"/>
    </row>
    <row r="503">
      <c r="D503" s="2"/>
    </row>
    <row r="504">
      <c r="D504" s="2"/>
    </row>
    <row r="505">
      <c r="D505" s="2"/>
    </row>
    <row r="506">
      <c r="D506" s="2"/>
    </row>
    <row r="507">
      <c r="D507" s="2"/>
    </row>
    <row r="508">
      <c r="D508" s="2"/>
    </row>
    <row r="509">
      <c r="D509" s="2"/>
    </row>
    <row r="510">
      <c r="D510" s="2"/>
    </row>
    <row r="511">
      <c r="D511" s="2"/>
    </row>
    <row r="512">
      <c r="D512" s="2"/>
    </row>
    <row r="513">
      <c r="D513" s="2"/>
    </row>
    <row r="514">
      <c r="D514" s="2"/>
    </row>
    <row r="515">
      <c r="D515" s="2"/>
    </row>
    <row r="516">
      <c r="D516" s="2"/>
    </row>
    <row r="517">
      <c r="D517" s="2"/>
    </row>
    <row r="518">
      <c r="D518" s="2"/>
    </row>
    <row r="519">
      <c r="D519" s="2"/>
    </row>
    <row r="520">
      <c r="D520" s="2"/>
    </row>
    <row r="521">
      <c r="D521" s="2"/>
    </row>
    <row r="522">
      <c r="D522" s="2"/>
    </row>
    <row r="523">
      <c r="D523" s="2"/>
    </row>
    <row r="524">
      <c r="D524" s="2"/>
    </row>
    <row r="525">
      <c r="D525" s="2"/>
    </row>
    <row r="526">
      <c r="D526" s="2"/>
    </row>
    <row r="527">
      <c r="D527" s="2"/>
    </row>
    <row r="528">
      <c r="D528" s="2"/>
    </row>
    <row r="529">
      <c r="D529" s="2"/>
    </row>
    <row r="530">
      <c r="D530" s="2"/>
    </row>
    <row r="531">
      <c r="D531" s="2"/>
    </row>
    <row r="532">
      <c r="D532" s="2"/>
    </row>
    <row r="533">
      <c r="D533" s="2"/>
    </row>
    <row r="534">
      <c r="D534" s="2"/>
    </row>
    <row r="535">
      <c r="D535" s="2"/>
    </row>
    <row r="536">
      <c r="D536" s="2"/>
    </row>
    <row r="537">
      <c r="D537" s="2"/>
    </row>
    <row r="538">
      <c r="D538" s="2"/>
    </row>
    <row r="539">
      <c r="D539" s="2"/>
    </row>
    <row r="540">
      <c r="D540" s="2"/>
    </row>
    <row r="541">
      <c r="D541" s="2"/>
    </row>
    <row r="542">
      <c r="D542" s="2"/>
    </row>
    <row r="543">
      <c r="D543" s="2"/>
    </row>
    <row r="544">
      <c r="D544" s="2"/>
    </row>
    <row r="545">
      <c r="D545" s="2"/>
    </row>
    <row r="546">
      <c r="D546" s="2"/>
    </row>
    <row r="547">
      <c r="D547" s="2"/>
    </row>
    <row r="548">
      <c r="D548" s="2"/>
    </row>
    <row r="549">
      <c r="D549" s="2"/>
    </row>
    <row r="550">
      <c r="D550" s="2"/>
    </row>
    <row r="551">
      <c r="D551" s="2"/>
    </row>
    <row r="552">
      <c r="D552" s="2"/>
    </row>
    <row r="553">
      <c r="D553" s="2"/>
    </row>
    <row r="554">
      <c r="D554" s="2"/>
    </row>
    <row r="555">
      <c r="D555" s="2"/>
    </row>
    <row r="556">
      <c r="D556" s="2"/>
    </row>
    <row r="557">
      <c r="D557" s="2"/>
    </row>
    <row r="558">
      <c r="D558" s="2"/>
    </row>
    <row r="559">
      <c r="D559" s="2"/>
    </row>
    <row r="560">
      <c r="D560" s="2"/>
    </row>
    <row r="561">
      <c r="D561" s="2"/>
    </row>
    <row r="562">
      <c r="D562" s="2"/>
    </row>
    <row r="563">
      <c r="D563" s="2"/>
    </row>
    <row r="564">
      <c r="D564" s="2"/>
    </row>
    <row r="565">
      <c r="D565" s="2"/>
    </row>
    <row r="566">
      <c r="D566" s="2"/>
    </row>
    <row r="567">
      <c r="D567" s="2"/>
    </row>
    <row r="568">
      <c r="D568" s="2"/>
    </row>
    <row r="569">
      <c r="D569" s="2"/>
    </row>
    <row r="570">
      <c r="D570" s="2"/>
    </row>
    <row r="571">
      <c r="D571" s="2"/>
    </row>
    <row r="572">
      <c r="D572" s="2"/>
    </row>
    <row r="573">
      <c r="D573" s="2"/>
    </row>
    <row r="574">
      <c r="D574" s="2"/>
    </row>
    <row r="575">
      <c r="D575" s="2"/>
    </row>
    <row r="576">
      <c r="D576" s="2"/>
    </row>
    <row r="577">
      <c r="D577" s="2"/>
    </row>
    <row r="578">
      <c r="D578" s="2"/>
    </row>
    <row r="579">
      <c r="D579" s="2"/>
    </row>
    <row r="580">
      <c r="D580" s="2"/>
    </row>
    <row r="581">
      <c r="D581" s="2"/>
    </row>
    <row r="582">
      <c r="D582" s="2"/>
    </row>
    <row r="583">
      <c r="D583" s="2"/>
    </row>
    <row r="584">
      <c r="D584" s="2"/>
    </row>
    <row r="585">
      <c r="D585" s="2"/>
    </row>
    <row r="586">
      <c r="D586" s="2"/>
    </row>
    <row r="587">
      <c r="D587" s="2"/>
    </row>
    <row r="588">
      <c r="D588" s="2"/>
    </row>
    <row r="589">
      <c r="D589" s="2"/>
    </row>
    <row r="590">
      <c r="D590" s="2"/>
    </row>
    <row r="591">
      <c r="D591" s="2"/>
    </row>
    <row r="592">
      <c r="D592" s="2"/>
    </row>
    <row r="593">
      <c r="D593" s="2"/>
    </row>
    <row r="594">
      <c r="D594" s="2"/>
    </row>
    <row r="595">
      <c r="D595" s="2"/>
    </row>
    <row r="596">
      <c r="D596" s="2"/>
    </row>
    <row r="597">
      <c r="D597" s="2"/>
    </row>
    <row r="598">
      <c r="D598" s="2"/>
    </row>
    <row r="599">
      <c r="D599" s="2"/>
    </row>
    <row r="600">
      <c r="D600" s="2"/>
    </row>
    <row r="601">
      <c r="D601" s="2"/>
    </row>
    <row r="602">
      <c r="D602" s="2"/>
    </row>
    <row r="603">
      <c r="D603" s="2"/>
    </row>
    <row r="604">
      <c r="D604" s="2"/>
    </row>
    <row r="605">
      <c r="D605" s="2"/>
    </row>
    <row r="606">
      <c r="D606" s="2"/>
    </row>
    <row r="607">
      <c r="D607" s="2"/>
    </row>
    <row r="608">
      <c r="D608" s="2"/>
    </row>
    <row r="609">
      <c r="D609" s="2"/>
    </row>
    <row r="610">
      <c r="D610" s="2"/>
    </row>
    <row r="611">
      <c r="D611" s="2"/>
    </row>
    <row r="612">
      <c r="D612" s="2"/>
    </row>
    <row r="613">
      <c r="D613" s="2"/>
    </row>
    <row r="614">
      <c r="D614" s="2"/>
    </row>
    <row r="615">
      <c r="D615" s="2"/>
    </row>
    <row r="616">
      <c r="D616" s="2"/>
    </row>
    <row r="617">
      <c r="D617" s="2"/>
    </row>
    <row r="618">
      <c r="D618" s="2"/>
    </row>
    <row r="619">
      <c r="D619" s="2"/>
    </row>
    <row r="620">
      <c r="D620" s="2"/>
    </row>
    <row r="621">
      <c r="D621" s="2"/>
    </row>
    <row r="622">
      <c r="D622" s="2"/>
    </row>
    <row r="623">
      <c r="D623" s="2"/>
    </row>
    <row r="624">
      <c r="D624" s="2"/>
    </row>
    <row r="625">
      <c r="D625" s="2"/>
    </row>
    <row r="626">
      <c r="D626" s="2"/>
    </row>
    <row r="627">
      <c r="D627" s="2"/>
    </row>
    <row r="628">
      <c r="D628" s="2"/>
    </row>
    <row r="629">
      <c r="D629" s="2"/>
    </row>
    <row r="630">
      <c r="D630" s="2"/>
    </row>
    <row r="631">
      <c r="D631" s="2"/>
    </row>
    <row r="632">
      <c r="D632" s="2"/>
    </row>
    <row r="633">
      <c r="D633" s="2"/>
    </row>
    <row r="634">
      <c r="D634" s="2"/>
    </row>
    <row r="635">
      <c r="D635" s="2"/>
    </row>
    <row r="636">
      <c r="D636" s="2"/>
    </row>
    <row r="637">
      <c r="D637" s="2"/>
    </row>
    <row r="638">
      <c r="D638" s="2"/>
    </row>
    <row r="639">
      <c r="D639" s="2"/>
    </row>
    <row r="640">
      <c r="D640" s="2"/>
    </row>
    <row r="641">
      <c r="D641" s="2"/>
    </row>
    <row r="642">
      <c r="D642" s="2"/>
    </row>
    <row r="643">
      <c r="D643" s="2"/>
    </row>
    <row r="644">
      <c r="D644" s="2"/>
    </row>
    <row r="645">
      <c r="D645" s="2"/>
    </row>
    <row r="646">
      <c r="D646" s="2"/>
    </row>
    <row r="647">
      <c r="D647" s="2"/>
    </row>
    <row r="648">
      <c r="D648" s="2"/>
    </row>
    <row r="649">
      <c r="D649" s="2"/>
    </row>
    <row r="650">
      <c r="D650" s="2"/>
    </row>
    <row r="651">
      <c r="D651" s="2"/>
    </row>
    <row r="652">
      <c r="D652" s="2"/>
    </row>
    <row r="653">
      <c r="D653" s="2"/>
    </row>
    <row r="654">
      <c r="D654" s="2"/>
    </row>
    <row r="655">
      <c r="D655" s="2"/>
    </row>
    <row r="656">
      <c r="D656" s="2"/>
    </row>
    <row r="657">
      <c r="D657" s="2"/>
    </row>
    <row r="658">
      <c r="D658" s="2"/>
    </row>
    <row r="659">
      <c r="D659" s="2"/>
    </row>
    <row r="660">
      <c r="D660" s="2"/>
    </row>
    <row r="661">
      <c r="D661" s="2"/>
    </row>
    <row r="662">
      <c r="D662" s="2"/>
    </row>
    <row r="663">
      <c r="D663" s="2"/>
    </row>
    <row r="664">
      <c r="D664" s="2"/>
    </row>
    <row r="665">
      <c r="D665" s="2"/>
    </row>
    <row r="666">
      <c r="D666" s="2"/>
    </row>
    <row r="667">
      <c r="D667" s="2"/>
    </row>
    <row r="668">
      <c r="D668" s="2"/>
    </row>
    <row r="669">
      <c r="D669" s="2"/>
    </row>
    <row r="670">
      <c r="D670" s="2"/>
    </row>
    <row r="671">
      <c r="D671" s="2"/>
    </row>
    <row r="672">
      <c r="D672" s="2"/>
    </row>
    <row r="673">
      <c r="D673" s="2"/>
    </row>
    <row r="674">
      <c r="D674" s="2"/>
    </row>
    <row r="675">
      <c r="D675" s="2"/>
    </row>
    <row r="676">
      <c r="D676" s="2"/>
    </row>
    <row r="677">
      <c r="D677" s="2"/>
    </row>
    <row r="678">
      <c r="D678" s="2"/>
    </row>
    <row r="679">
      <c r="D679" s="2"/>
    </row>
    <row r="680">
      <c r="D680" s="2"/>
    </row>
    <row r="681">
      <c r="D681" s="2"/>
    </row>
    <row r="682">
      <c r="D682" s="2"/>
    </row>
    <row r="683">
      <c r="D683" s="2"/>
    </row>
    <row r="684">
      <c r="D684" s="2"/>
    </row>
    <row r="685">
      <c r="D685" s="2"/>
    </row>
    <row r="686">
      <c r="D686" s="2"/>
    </row>
    <row r="687">
      <c r="D687" s="2"/>
    </row>
    <row r="688">
      <c r="D688" s="2"/>
    </row>
    <row r="689">
      <c r="D689" s="2"/>
    </row>
    <row r="690">
      <c r="D690" s="2"/>
    </row>
    <row r="691">
      <c r="D691" s="2"/>
    </row>
    <row r="692">
      <c r="D692" s="2"/>
    </row>
    <row r="693">
      <c r="D693" s="2"/>
    </row>
    <row r="694">
      <c r="D694" s="2"/>
    </row>
    <row r="695">
      <c r="D695" s="2"/>
    </row>
    <row r="696">
      <c r="D696" s="2"/>
    </row>
    <row r="697">
      <c r="D697" s="2"/>
    </row>
    <row r="698">
      <c r="D698" s="2"/>
    </row>
    <row r="699">
      <c r="D699" s="2"/>
    </row>
    <row r="700">
      <c r="D700" s="2"/>
    </row>
    <row r="701">
      <c r="D701" s="2"/>
    </row>
    <row r="702">
      <c r="D702" s="2"/>
    </row>
    <row r="703">
      <c r="D703" s="2"/>
    </row>
    <row r="704">
      <c r="D704" s="2"/>
    </row>
    <row r="705">
      <c r="D705" s="2"/>
    </row>
    <row r="706">
      <c r="D706" s="2"/>
    </row>
    <row r="707">
      <c r="D707" s="2"/>
    </row>
    <row r="708">
      <c r="D708" s="2"/>
    </row>
    <row r="709">
      <c r="D709" s="2"/>
    </row>
    <row r="710">
      <c r="D710" s="2"/>
    </row>
    <row r="711">
      <c r="D711" s="2"/>
    </row>
    <row r="712">
      <c r="D712" s="2"/>
    </row>
    <row r="713">
      <c r="D713" s="2"/>
    </row>
    <row r="714">
      <c r="D714" s="2"/>
    </row>
    <row r="715">
      <c r="D715" s="2"/>
    </row>
    <row r="716">
      <c r="D716" s="2"/>
    </row>
    <row r="717">
      <c r="D717" s="2"/>
    </row>
    <row r="718">
      <c r="D718" s="2"/>
    </row>
    <row r="719">
      <c r="D719" s="2"/>
    </row>
    <row r="720">
      <c r="D720" s="2"/>
    </row>
    <row r="721">
      <c r="D721" s="2"/>
    </row>
    <row r="722">
      <c r="D722" s="2"/>
    </row>
    <row r="723">
      <c r="D723" s="2"/>
    </row>
    <row r="724">
      <c r="D724" s="2"/>
    </row>
    <row r="725">
      <c r="D725" s="2"/>
    </row>
    <row r="726">
      <c r="D726" s="2"/>
    </row>
    <row r="727">
      <c r="D727" s="2"/>
    </row>
    <row r="728">
      <c r="D728" s="2"/>
    </row>
    <row r="729">
      <c r="D729" s="2"/>
    </row>
    <row r="730">
      <c r="D730" s="2"/>
    </row>
    <row r="731">
      <c r="D731" s="2"/>
    </row>
    <row r="732">
      <c r="D732" s="2"/>
    </row>
    <row r="733">
      <c r="D733" s="2"/>
    </row>
    <row r="734">
      <c r="D734" s="2"/>
    </row>
    <row r="735">
      <c r="D735" s="2"/>
    </row>
    <row r="736">
      <c r="D736" s="2"/>
    </row>
    <row r="737">
      <c r="D737" s="2"/>
    </row>
    <row r="738">
      <c r="D738" s="2"/>
    </row>
    <row r="739">
      <c r="D739" s="2"/>
    </row>
    <row r="740">
      <c r="D740" s="2"/>
    </row>
    <row r="741">
      <c r="D741" s="2"/>
    </row>
    <row r="742">
      <c r="D742" s="2"/>
    </row>
    <row r="743">
      <c r="D743" s="2"/>
    </row>
    <row r="744">
      <c r="D744" s="2"/>
    </row>
    <row r="745">
      <c r="D745" s="2"/>
    </row>
    <row r="746">
      <c r="D746" s="2"/>
    </row>
    <row r="747">
      <c r="D747" s="2"/>
    </row>
    <row r="748">
      <c r="D748" s="2"/>
    </row>
    <row r="749">
      <c r="D749" s="2"/>
    </row>
    <row r="750">
      <c r="D750" s="2"/>
    </row>
    <row r="751">
      <c r="D751" s="2"/>
    </row>
    <row r="752">
      <c r="D752" s="2"/>
    </row>
    <row r="753">
      <c r="D753" s="2"/>
    </row>
    <row r="754">
      <c r="D754" s="2"/>
    </row>
    <row r="755">
      <c r="D755" s="2"/>
    </row>
    <row r="756">
      <c r="D756" s="2"/>
    </row>
    <row r="757">
      <c r="D757" s="2"/>
    </row>
    <row r="758">
      <c r="D758" s="2"/>
    </row>
    <row r="759">
      <c r="D759" s="2"/>
    </row>
    <row r="760">
      <c r="D760" s="2"/>
    </row>
    <row r="761">
      <c r="D761" s="2"/>
    </row>
    <row r="762">
      <c r="D762" s="2"/>
    </row>
    <row r="763">
      <c r="D763" s="2"/>
    </row>
    <row r="764">
      <c r="D764" s="2"/>
    </row>
    <row r="765">
      <c r="D765" s="2"/>
    </row>
    <row r="766">
      <c r="D766" s="2"/>
    </row>
    <row r="767">
      <c r="D767" s="2"/>
    </row>
    <row r="768">
      <c r="D768" s="2"/>
    </row>
    <row r="769">
      <c r="D769" s="2"/>
    </row>
    <row r="770">
      <c r="D770" s="2"/>
    </row>
    <row r="771">
      <c r="D771" s="2"/>
    </row>
    <row r="772">
      <c r="D772" s="2"/>
    </row>
    <row r="773">
      <c r="D773" s="2"/>
    </row>
    <row r="774">
      <c r="D774" s="2"/>
    </row>
    <row r="775">
      <c r="D775" s="2"/>
    </row>
    <row r="776">
      <c r="D776" s="2"/>
    </row>
    <row r="777">
      <c r="D777" s="2"/>
    </row>
    <row r="778">
      <c r="D778" s="2"/>
    </row>
    <row r="779">
      <c r="D779" s="2"/>
    </row>
    <row r="780">
      <c r="D780" s="2"/>
    </row>
    <row r="781">
      <c r="D781" s="2"/>
    </row>
    <row r="782">
      <c r="D782" s="2"/>
    </row>
    <row r="783">
      <c r="D783" s="2"/>
    </row>
    <row r="784">
      <c r="D784" s="2"/>
    </row>
    <row r="785">
      <c r="D785" s="2"/>
    </row>
    <row r="786">
      <c r="D786" s="2"/>
    </row>
    <row r="787">
      <c r="D787" s="2"/>
    </row>
    <row r="788">
      <c r="D788" s="2"/>
    </row>
    <row r="789">
      <c r="D789" s="2"/>
    </row>
    <row r="790">
      <c r="D790" s="2"/>
    </row>
    <row r="791">
      <c r="D791" s="2"/>
    </row>
    <row r="792">
      <c r="D792" s="2"/>
    </row>
    <row r="793">
      <c r="D793" s="2"/>
    </row>
    <row r="794">
      <c r="D794" s="2"/>
    </row>
    <row r="795">
      <c r="D795" s="2"/>
    </row>
    <row r="796">
      <c r="D796" s="2"/>
    </row>
    <row r="797">
      <c r="D797" s="2"/>
    </row>
    <row r="798">
      <c r="D798" s="2"/>
    </row>
    <row r="799">
      <c r="D799" s="2"/>
    </row>
    <row r="800">
      <c r="D800" s="2"/>
    </row>
    <row r="801">
      <c r="D801" s="2"/>
    </row>
    <row r="802">
      <c r="D802" s="2"/>
    </row>
    <row r="803">
      <c r="D803" s="2"/>
    </row>
    <row r="804">
      <c r="D804" s="2"/>
    </row>
    <row r="805">
      <c r="D805" s="2"/>
    </row>
    <row r="806">
      <c r="D806" s="2"/>
    </row>
    <row r="807">
      <c r="D807" s="2"/>
    </row>
    <row r="808">
      <c r="D808" s="2"/>
    </row>
    <row r="809">
      <c r="D809" s="2"/>
    </row>
    <row r="810">
      <c r="D810" s="2"/>
    </row>
    <row r="811">
      <c r="D811" s="2"/>
    </row>
    <row r="812">
      <c r="D812" s="2"/>
    </row>
    <row r="813">
      <c r="D813" s="2"/>
    </row>
    <row r="814">
      <c r="D814" s="2"/>
    </row>
    <row r="815">
      <c r="D815" s="2"/>
    </row>
    <row r="816">
      <c r="D816" s="2"/>
    </row>
    <row r="817">
      <c r="D817" s="2"/>
    </row>
    <row r="818">
      <c r="D818" s="2"/>
    </row>
    <row r="819">
      <c r="D819" s="2"/>
    </row>
    <row r="820">
      <c r="D820" s="2"/>
    </row>
    <row r="821">
      <c r="D821" s="2"/>
    </row>
    <row r="822">
      <c r="D822" s="2"/>
    </row>
    <row r="823">
      <c r="D823" s="2"/>
    </row>
    <row r="824">
      <c r="D824" s="2"/>
    </row>
    <row r="825">
      <c r="D825" s="2"/>
    </row>
    <row r="826">
      <c r="D826" s="2"/>
    </row>
    <row r="827">
      <c r="D827" s="2"/>
    </row>
    <row r="828">
      <c r="D828" s="2"/>
    </row>
    <row r="829">
      <c r="D829" s="2"/>
    </row>
    <row r="830">
      <c r="D830" s="2"/>
    </row>
    <row r="831">
      <c r="D831" s="2"/>
    </row>
    <row r="832">
      <c r="D832" s="2"/>
    </row>
    <row r="833">
      <c r="D833" s="2"/>
    </row>
    <row r="834">
      <c r="D834" s="2"/>
    </row>
    <row r="835">
      <c r="D835" s="2"/>
    </row>
    <row r="836">
      <c r="D836" s="2"/>
    </row>
    <row r="837">
      <c r="D837" s="2"/>
    </row>
    <row r="838">
      <c r="D838" s="2"/>
    </row>
    <row r="839">
      <c r="D839" s="2"/>
    </row>
    <row r="840">
      <c r="D840" s="2"/>
    </row>
    <row r="841">
      <c r="D841" s="2"/>
    </row>
    <row r="842">
      <c r="D842" s="2"/>
    </row>
    <row r="843">
      <c r="D843" s="2"/>
    </row>
    <row r="844">
      <c r="D844" s="2"/>
    </row>
    <row r="845">
      <c r="D845" s="2"/>
    </row>
    <row r="846">
      <c r="D846" s="2"/>
    </row>
    <row r="847">
      <c r="D847" s="2"/>
    </row>
    <row r="848">
      <c r="D848" s="2"/>
    </row>
    <row r="849">
      <c r="D849" s="2"/>
    </row>
    <row r="850">
      <c r="D850" s="2"/>
    </row>
    <row r="851">
      <c r="D851" s="2"/>
    </row>
    <row r="852">
      <c r="D852" s="2"/>
    </row>
    <row r="853">
      <c r="D853" s="2"/>
    </row>
    <row r="854">
      <c r="D854" s="2"/>
    </row>
    <row r="855">
      <c r="D855" s="2"/>
    </row>
    <row r="856">
      <c r="D856" s="2"/>
    </row>
    <row r="857">
      <c r="D857" s="2"/>
    </row>
    <row r="858">
      <c r="D858" s="2"/>
    </row>
    <row r="859">
      <c r="D859" s="2"/>
    </row>
    <row r="860">
      <c r="D860" s="2"/>
    </row>
    <row r="861">
      <c r="D861" s="2"/>
    </row>
    <row r="862">
      <c r="D862" s="2"/>
    </row>
    <row r="863">
      <c r="D863" s="2"/>
    </row>
    <row r="864">
      <c r="D864" s="2"/>
    </row>
    <row r="865">
      <c r="D865" s="2"/>
    </row>
    <row r="866">
      <c r="D866" s="2"/>
    </row>
    <row r="867">
      <c r="D867" s="2"/>
    </row>
    <row r="868">
      <c r="D868" s="2"/>
    </row>
    <row r="869">
      <c r="D869" s="2"/>
    </row>
    <row r="870">
      <c r="D870" s="2"/>
    </row>
    <row r="871">
      <c r="D871" s="2"/>
    </row>
    <row r="872">
      <c r="D872" s="2"/>
    </row>
    <row r="873">
      <c r="D873" s="2"/>
    </row>
    <row r="874">
      <c r="D874" s="2"/>
    </row>
    <row r="875">
      <c r="D875" s="2"/>
    </row>
    <row r="876">
      <c r="D876" s="2"/>
    </row>
    <row r="877">
      <c r="D877" s="2"/>
    </row>
    <row r="878">
      <c r="D878" s="2"/>
    </row>
    <row r="879">
      <c r="D879" s="2"/>
    </row>
    <row r="880">
      <c r="D880" s="2"/>
    </row>
    <row r="881">
      <c r="D881" s="2"/>
    </row>
    <row r="882">
      <c r="D882" s="2"/>
    </row>
    <row r="883">
      <c r="D883" s="2"/>
    </row>
    <row r="884">
      <c r="D884" s="2"/>
    </row>
    <row r="885">
      <c r="D885" s="2"/>
    </row>
    <row r="886">
      <c r="D886" s="2"/>
    </row>
    <row r="887">
      <c r="D887" s="2"/>
    </row>
    <row r="888">
      <c r="D888" s="2"/>
    </row>
    <row r="889">
      <c r="D889" s="2"/>
    </row>
    <row r="890">
      <c r="D890" s="2"/>
    </row>
    <row r="891">
      <c r="D891" s="2"/>
    </row>
    <row r="892">
      <c r="D892" s="2"/>
    </row>
    <row r="893">
      <c r="D893" s="2"/>
    </row>
    <row r="894">
      <c r="D894" s="2"/>
    </row>
    <row r="895">
      <c r="D895" s="2"/>
    </row>
    <row r="896">
      <c r="D896" s="2"/>
    </row>
    <row r="897">
      <c r="D897" s="2"/>
    </row>
    <row r="898">
      <c r="D898" s="2"/>
    </row>
    <row r="899">
      <c r="D899" s="2"/>
    </row>
    <row r="900">
      <c r="D900" s="2"/>
    </row>
    <row r="901">
      <c r="D901" s="2"/>
    </row>
    <row r="902">
      <c r="D902" s="2"/>
    </row>
    <row r="903">
      <c r="D903" s="2"/>
    </row>
    <row r="904">
      <c r="D904" s="2"/>
    </row>
    <row r="905">
      <c r="D905" s="2"/>
    </row>
    <row r="906">
      <c r="D906" s="2"/>
    </row>
    <row r="907">
      <c r="D907" s="2"/>
    </row>
    <row r="908">
      <c r="D908" s="2"/>
    </row>
    <row r="909">
      <c r="D909" s="2"/>
    </row>
    <row r="910">
      <c r="D910" s="2"/>
    </row>
    <row r="911">
      <c r="D911" s="2"/>
    </row>
    <row r="912">
      <c r="D912" s="2"/>
    </row>
    <row r="913">
      <c r="D913" s="2"/>
    </row>
    <row r="914">
      <c r="D914" s="2"/>
    </row>
    <row r="915">
      <c r="D915" s="2"/>
    </row>
    <row r="916">
      <c r="D916" s="2"/>
    </row>
    <row r="917">
      <c r="D917" s="2"/>
    </row>
    <row r="918">
      <c r="D918" s="2"/>
    </row>
    <row r="919">
      <c r="D919" s="2"/>
    </row>
    <row r="920">
      <c r="D920" s="2"/>
    </row>
    <row r="921">
      <c r="D921" s="2"/>
    </row>
    <row r="922">
      <c r="D922" s="2"/>
    </row>
    <row r="923">
      <c r="D923" s="2"/>
    </row>
    <row r="924">
      <c r="D924" s="2"/>
    </row>
    <row r="925">
      <c r="D925" s="2"/>
    </row>
    <row r="926">
      <c r="D926" s="2"/>
    </row>
    <row r="927">
      <c r="D927" s="2"/>
    </row>
    <row r="928">
      <c r="D928" s="2"/>
    </row>
    <row r="929">
      <c r="D929" s="2"/>
    </row>
    <row r="930">
      <c r="D930" s="2"/>
    </row>
    <row r="931">
      <c r="D931" s="2"/>
    </row>
    <row r="932">
      <c r="D932" s="2"/>
    </row>
    <row r="933">
      <c r="D933" s="2"/>
    </row>
    <row r="934">
      <c r="D934" s="2"/>
    </row>
    <row r="935">
      <c r="D935" s="2"/>
    </row>
    <row r="936">
      <c r="D936" s="2"/>
    </row>
    <row r="937">
      <c r="D937" s="2"/>
    </row>
    <row r="938">
      <c r="D938" s="2"/>
    </row>
    <row r="939">
      <c r="D939" s="2"/>
    </row>
    <row r="940">
      <c r="D940" s="2"/>
    </row>
    <row r="941">
      <c r="D941" s="2"/>
    </row>
    <row r="942">
      <c r="D942" s="2"/>
    </row>
    <row r="943">
      <c r="D943" s="2"/>
    </row>
    <row r="944">
      <c r="D944" s="2"/>
    </row>
    <row r="945">
      <c r="D945" s="2"/>
    </row>
    <row r="946">
      <c r="D946" s="2"/>
    </row>
    <row r="947">
      <c r="D947" s="2"/>
    </row>
    <row r="948">
      <c r="D948" s="2"/>
    </row>
    <row r="949">
      <c r="D949" s="2"/>
    </row>
    <row r="950">
      <c r="D950" s="2"/>
    </row>
    <row r="951">
      <c r="D951" s="2"/>
    </row>
    <row r="952">
      <c r="D952" s="2"/>
    </row>
    <row r="953">
      <c r="D953" s="2"/>
    </row>
    <row r="954">
      <c r="D954" s="2"/>
    </row>
    <row r="955">
      <c r="D955" s="2"/>
    </row>
    <row r="956">
      <c r="D956" s="2"/>
    </row>
    <row r="957">
      <c r="D957" s="2"/>
    </row>
    <row r="958">
      <c r="D958" s="2"/>
    </row>
    <row r="959">
      <c r="D959" s="2"/>
    </row>
    <row r="960">
      <c r="D960" s="2"/>
    </row>
    <row r="961">
      <c r="D961" s="2"/>
    </row>
    <row r="962">
      <c r="D962" s="2"/>
    </row>
    <row r="963">
      <c r="D963" s="2"/>
    </row>
    <row r="964">
      <c r="D964" s="2"/>
    </row>
    <row r="965">
      <c r="D965" s="2"/>
    </row>
    <row r="966">
      <c r="D966" s="2"/>
    </row>
    <row r="967">
      <c r="D967" s="2"/>
    </row>
    <row r="968">
      <c r="D968" s="2"/>
    </row>
    <row r="969">
      <c r="D969" s="2"/>
    </row>
    <row r="970">
      <c r="D970" s="2"/>
    </row>
    <row r="971">
      <c r="D971" s="2"/>
    </row>
    <row r="972">
      <c r="D972" s="2"/>
    </row>
    <row r="973">
      <c r="D973" s="2"/>
    </row>
    <row r="974">
      <c r="D974" s="2"/>
    </row>
    <row r="975">
      <c r="D975" s="2"/>
    </row>
    <row r="976">
      <c r="D976" s="2"/>
    </row>
    <row r="977">
      <c r="D977" s="2"/>
    </row>
    <row r="978">
      <c r="D978" s="2"/>
    </row>
    <row r="979">
      <c r="D979" s="2"/>
    </row>
    <row r="980">
      <c r="D980" s="2"/>
    </row>
    <row r="981">
      <c r="D981" s="2"/>
    </row>
    <row r="982">
      <c r="D982" s="2"/>
    </row>
    <row r="983">
      <c r="D983" s="2"/>
    </row>
    <row r="984">
      <c r="D984" s="2"/>
    </row>
    <row r="985">
      <c r="D985" s="2"/>
    </row>
    <row r="986">
      <c r="D986" s="2"/>
    </row>
    <row r="987">
      <c r="D987" s="2"/>
    </row>
    <row r="988">
      <c r="D988" s="2"/>
    </row>
    <row r="989">
      <c r="D989" s="2"/>
    </row>
    <row r="990">
      <c r="D990" s="2"/>
    </row>
    <row r="991">
      <c r="D991" s="2"/>
    </row>
    <row r="992">
      <c r="D992" s="2"/>
    </row>
  </sheetData>
  <printOptions gridLines="1" horizontalCentered="1"/>
  <pageMargins bottom="0.75" footer="0.0" header="0.0" left="0.7" right="0.7" top="0.75"/>
  <pageSetup cellComments="atEnd" orientation="portrait" pageOrder="overThenDown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13"/>
    <col customWidth="1" min="3" max="3" width="21.25"/>
  </cols>
  <sheetData>
    <row r="1">
      <c r="A1" s="4" t="s">
        <v>60</v>
      </c>
      <c r="B1" s="4" t="s">
        <v>682</v>
      </c>
      <c r="C1" s="4" t="s">
        <v>683</v>
      </c>
      <c r="D1" s="12" t="s">
        <v>48</v>
      </c>
    </row>
    <row r="2">
      <c r="A2" s="79">
        <v>45565.0</v>
      </c>
      <c r="B2" s="4" t="s">
        <v>80</v>
      </c>
      <c r="C2" s="4" t="s">
        <v>684</v>
      </c>
      <c r="D2" s="12">
        <v>525000.0</v>
      </c>
    </row>
    <row r="3">
      <c r="D3" s="2"/>
    </row>
    <row r="4">
      <c r="A4" s="72"/>
      <c r="C4" s="73"/>
      <c r="D4" s="74"/>
      <c r="E4" s="73"/>
      <c r="F4" s="73"/>
      <c r="G4" s="73"/>
    </row>
    <row r="5">
      <c r="A5" s="93" t="s">
        <v>0</v>
      </c>
      <c r="B5" s="73"/>
      <c r="C5" s="73"/>
      <c r="D5" s="74"/>
      <c r="E5" s="73"/>
      <c r="F5" s="73"/>
      <c r="G5" s="73"/>
    </row>
    <row r="6">
      <c r="A6" s="79">
        <v>46079.0</v>
      </c>
      <c r="B6" s="4" t="s">
        <v>71</v>
      </c>
      <c r="C6" s="4" t="s">
        <v>685</v>
      </c>
      <c r="D6" s="12">
        <v>12750.0</v>
      </c>
    </row>
    <row r="7">
      <c r="D7" s="2"/>
    </row>
    <row r="8">
      <c r="D8" s="2"/>
    </row>
    <row r="9">
      <c r="D9" s="2"/>
    </row>
    <row r="10">
      <c r="A10" s="94" t="s">
        <v>686</v>
      </c>
      <c r="D10" s="2"/>
    </row>
    <row r="11">
      <c r="A11" s="79">
        <v>45967.0</v>
      </c>
      <c r="B11" s="4" t="s">
        <v>80</v>
      </c>
      <c r="C11" s="4" t="s">
        <v>687</v>
      </c>
      <c r="D11" s="12">
        <v>210000.0</v>
      </c>
    </row>
    <row r="12">
      <c r="A12" s="79">
        <v>45967.0</v>
      </c>
      <c r="B12" s="4" t="s">
        <v>80</v>
      </c>
      <c r="C12" s="4" t="s">
        <v>687</v>
      </c>
      <c r="D12" s="12">
        <v>140000.0</v>
      </c>
    </row>
    <row r="13">
      <c r="A13" s="79">
        <v>45667.0</v>
      </c>
      <c r="B13" s="4" t="s">
        <v>80</v>
      </c>
      <c r="C13" s="4" t="s">
        <v>687</v>
      </c>
      <c r="D13" s="12">
        <v>175000.0</v>
      </c>
    </row>
    <row r="14">
      <c r="A14" s="79">
        <v>45874.0</v>
      </c>
      <c r="B14" s="4" t="s">
        <v>80</v>
      </c>
      <c r="C14" s="4" t="s">
        <v>687</v>
      </c>
      <c r="D14" s="12">
        <v>80000.0</v>
      </c>
    </row>
    <row r="15">
      <c r="A15" s="79">
        <v>45925.0</v>
      </c>
      <c r="B15" s="4" t="s">
        <v>688</v>
      </c>
      <c r="C15" s="4" t="s">
        <v>687</v>
      </c>
      <c r="D15" s="12">
        <v>-80000.0</v>
      </c>
    </row>
    <row r="16">
      <c r="A16" s="79">
        <v>45932.0</v>
      </c>
      <c r="B16" s="4" t="s">
        <v>689</v>
      </c>
      <c r="C16" s="4" t="s">
        <v>687</v>
      </c>
      <c r="D16" s="12">
        <v>-525000.0</v>
      </c>
    </row>
    <row r="17">
      <c r="C17" s="4" t="s">
        <v>15</v>
      </c>
      <c r="D17" s="2">
        <f>sum(D11:D16)</f>
        <v>0</v>
      </c>
    </row>
    <row r="18">
      <c r="D18" s="2"/>
    </row>
    <row r="19">
      <c r="D19" s="2"/>
    </row>
    <row r="20">
      <c r="D20" s="2"/>
    </row>
    <row r="21">
      <c r="D21" s="2"/>
    </row>
    <row r="22">
      <c r="D22" s="2"/>
    </row>
    <row r="23">
      <c r="D23" s="2"/>
    </row>
    <row r="24">
      <c r="D24" s="2"/>
    </row>
    <row r="25">
      <c r="D25" s="2"/>
    </row>
    <row r="26">
      <c r="D26" s="2"/>
    </row>
    <row r="27">
      <c r="D27" s="2"/>
    </row>
    <row r="28">
      <c r="D28" s="2"/>
    </row>
    <row r="29">
      <c r="D29" s="2"/>
    </row>
    <row r="30">
      <c r="D30" s="2"/>
    </row>
    <row r="31">
      <c r="D31" s="2"/>
    </row>
    <row r="32">
      <c r="D32" s="2"/>
    </row>
    <row r="33">
      <c r="D33" s="2"/>
    </row>
    <row r="34">
      <c r="D34" s="2"/>
    </row>
    <row r="35">
      <c r="D35" s="2"/>
    </row>
    <row r="36">
      <c r="D36" s="2"/>
    </row>
    <row r="37">
      <c r="D37" s="2"/>
    </row>
    <row r="38">
      <c r="D38" s="2"/>
    </row>
    <row r="39">
      <c r="D39" s="2"/>
    </row>
    <row r="40">
      <c r="D40" s="2"/>
    </row>
    <row r="41">
      <c r="D41" s="2"/>
    </row>
    <row r="42">
      <c r="D42" s="2"/>
    </row>
    <row r="43">
      <c r="D43" s="2"/>
    </row>
    <row r="44">
      <c r="D44" s="2"/>
    </row>
    <row r="45">
      <c r="D45" s="2"/>
    </row>
    <row r="46">
      <c r="D46" s="2"/>
    </row>
    <row r="47">
      <c r="D47" s="2"/>
    </row>
    <row r="48">
      <c r="D48" s="2"/>
    </row>
    <row r="49">
      <c r="D49" s="2"/>
    </row>
    <row r="50">
      <c r="D50" s="2"/>
    </row>
    <row r="51">
      <c r="D51" s="2"/>
    </row>
    <row r="52">
      <c r="D52" s="2"/>
    </row>
    <row r="53">
      <c r="D53" s="2"/>
    </row>
    <row r="54">
      <c r="D54" s="2"/>
    </row>
    <row r="55">
      <c r="D55" s="2"/>
    </row>
    <row r="56">
      <c r="D56" s="2"/>
    </row>
    <row r="57">
      <c r="D57" s="2"/>
    </row>
    <row r="58">
      <c r="D58" s="2"/>
    </row>
    <row r="59">
      <c r="D59" s="2"/>
    </row>
    <row r="60">
      <c r="D60" s="2"/>
    </row>
    <row r="61">
      <c r="D61" s="2"/>
    </row>
    <row r="62">
      <c r="D62" s="2"/>
    </row>
    <row r="63">
      <c r="D63" s="2"/>
    </row>
    <row r="64">
      <c r="D64" s="2"/>
    </row>
    <row r="65">
      <c r="D65" s="2"/>
    </row>
    <row r="66">
      <c r="D66" s="2"/>
    </row>
    <row r="67">
      <c r="D67" s="2"/>
    </row>
    <row r="68">
      <c r="D68" s="2"/>
    </row>
    <row r="69">
      <c r="D69" s="2"/>
    </row>
    <row r="70">
      <c r="D70" s="2"/>
    </row>
    <row r="71">
      <c r="D71" s="2"/>
    </row>
    <row r="72">
      <c r="D72" s="2"/>
    </row>
    <row r="73">
      <c r="D73" s="2"/>
    </row>
    <row r="74">
      <c r="D74" s="2"/>
    </row>
    <row r="75">
      <c r="D75" s="2"/>
    </row>
    <row r="76">
      <c r="D76" s="2"/>
    </row>
    <row r="77">
      <c r="D77" s="2"/>
    </row>
    <row r="78">
      <c r="D78" s="2"/>
    </row>
    <row r="79">
      <c r="D79" s="2"/>
    </row>
    <row r="80">
      <c r="D80" s="2"/>
    </row>
    <row r="81">
      <c r="D81" s="2"/>
    </row>
    <row r="82">
      <c r="D82" s="2"/>
    </row>
    <row r="83">
      <c r="D83" s="2"/>
    </row>
    <row r="84">
      <c r="D84" s="2"/>
    </row>
    <row r="85">
      <c r="D85" s="2"/>
    </row>
    <row r="86">
      <c r="D86" s="2"/>
    </row>
    <row r="87">
      <c r="D87" s="2"/>
    </row>
    <row r="88">
      <c r="D88" s="2"/>
    </row>
    <row r="89">
      <c r="D89" s="2"/>
    </row>
    <row r="90">
      <c r="D90" s="2"/>
    </row>
    <row r="91">
      <c r="D91" s="2"/>
    </row>
    <row r="92">
      <c r="D92" s="2"/>
    </row>
    <row r="93">
      <c r="D93" s="2"/>
    </row>
    <row r="94">
      <c r="D94" s="2"/>
    </row>
    <row r="95">
      <c r="D95" s="2"/>
    </row>
    <row r="96">
      <c r="D96" s="2"/>
    </row>
    <row r="97">
      <c r="D97" s="2"/>
    </row>
    <row r="98">
      <c r="D98" s="2"/>
    </row>
    <row r="99">
      <c r="D99" s="2"/>
    </row>
    <row r="100">
      <c r="D100" s="2"/>
    </row>
    <row r="101">
      <c r="D101" s="2"/>
    </row>
    <row r="102">
      <c r="D102" s="2"/>
    </row>
    <row r="103">
      <c r="D103" s="2"/>
    </row>
    <row r="104">
      <c r="D104" s="2"/>
    </row>
    <row r="105">
      <c r="D105" s="2"/>
    </row>
    <row r="106">
      <c r="D106" s="2"/>
    </row>
    <row r="107">
      <c r="D107" s="2"/>
    </row>
    <row r="108">
      <c r="D108" s="2"/>
    </row>
    <row r="109">
      <c r="D109" s="2"/>
    </row>
    <row r="110">
      <c r="D110" s="2"/>
    </row>
    <row r="111">
      <c r="D111" s="2"/>
    </row>
    <row r="112">
      <c r="D112" s="2"/>
    </row>
    <row r="113">
      <c r="D113" s="2"/>
    </row>
    <row r="114">
      <c r="D114" s="2"/>
    </row>
    <row r="115">
      <c r="D115" s="2"/>
    </row>
    <row r="116">
      <c r="D116" s="2"/>
    </row>
    <row r="117">
      <c r="D117" s="2"/>
    </row>
    <row r="118">
      <c r="D118" s="2"/>
    </row>
    <row r="119">
      <c r="D119" s="2"/>
    </row>
    <row r="120">
      <c r="D120" s="2"/>
    </row>
    <row r="121">
      <c r="D121" s="2"/>
    </row>
    <row r="122">
      <c r="D122" s="2"/>
    </row>
    <row r="123">
      <c r="D123" s="2"/>
    </row>
    <row r="124">
      <c r="D124" s="2"/>
    </row>
    <row r="125">
      <c r="D125" s="2"/>
    </row>
    <row r="126">
      <c r="D126" s="2"/>
    </row>
    <row r="127">
      <c r="D127" s="2"/>
    </row>
    <row r="128">
      <c r="D128" s="2"/>
    </row>
    <row r="129">
      <c r="D129" s="2"/>
    </row>
    <row r="130">
      <c r="D130" s="2"/>
    </row>
    <row r="131">
      <c r="D131" s="2"/>
    </row>
    <row r="132">
      <c r="D132" s="2"/>
    </row>
    <row r="133">
      <c r="D133" s="2"/>
    </row>
    <row r="134">
      <c r="D134" s="2"/>
    </row>
    <row r="135">
      <c r="D135" s="2"/>
    </row>
    <row r="136">
      <c r="D136" s="2"/>
    </row>
    <row r="137">
      <c r="D137" s="2"/>
    </row>
    <row r="138">
      <c r="D138" s="2"/>
    </row>
    <row r="139">
      <c r="D139" s="2"/>
    </row>
    <row r="140">
      <c r="D140" s="2"/>
    </row>
    <row r="141">
      <c r="D141" s="2"/>
    </row>
    <row r="142">
      <c r="D142" s="2"/>
    </row>
    <row r="143">
      <c r="D143" s="2"/>
    </row>
    <row r="144">
      <c r="D144" s="2"/>
    </row>
    <row r="145">
      <c r="D145" s="2"/>
    </row>
    <row r="146">
      <c r="D146" s="2"/>
    </row>
    <row r="147">
      <c r="D147" s="2"/>
    </row>
    <row r="148">
      <c r="D148" s="2"/>
    </row>
    <row r="149">
      <c r="D149" s="2"/>
    </row>
    <row r="150">
      <c r="D150" s="2"/>
    </row>
    <row r="151">
      <c r="D151" s="2"/>
    </row>
    <row r="152">
      <c r="D152" s="2"/>
    </row>
    <row r="153">
      <c r="D153" s="2"/>
    </row>
    <row r="154">
      <c r="D154" s="2"/>
    </row>
    <row r="155">
      <c r="D155" s="2"/>
    </row>
    <row r="156">
      <c r="D156" s="2"/>
    </row>
    <row r="157">
      <c r="D157" s="2"/>
    </row>
    <row r="158">
      <c r="D158" s="2"/>
    </row>
    <row r="159">
      <c r="D159" s="2"/>
    </row>
    <row r="160">
      <c r="D160" s="2"/>
    </row>
    <row r="161">
      <c r="D161" s="2"/>
    </row>
    <row r="162">
      <c r="D162" s="2"/>
    </row>
    <row r="163">
      <c r="D163" s="2"/>
    </row>
    <row r="164">
      <c r="D164" s="2"/>
    </row>
    <row r="165">
      <c r="D165" s="2"/>
    </row>
    <row r="166">
      <c r="D166" s="2"/>
    </row>
    <row r="167">
      <c r="D167" s="2"/>
    </row>
    <row r="168">
      <c r="D168" s="2"/>
    </row>
    <row r="169">
      <c r="D169" s="2"/>
    </row>
    <row r="170">
      <c r="D170" s="2"/>
    </row>
    <row r="171">
      <c r="D171" s="2"/>
    </row>
    <row r="172">
      <c r="D172" s="2"/>
    </row>
    <row r="173">
      <c r="D173" s="2"/>
    </row>
    <row r="174">
      <c r="D174" s="2"/>
    </row>
    <row r="175">
      <c r="D175" s="2"/>
    </row>
    <row r="176">
      <c r="D176" s="2"/>
    </row>
    <row r="177">
      <c r="D177" s="2"/>
    </row>
    <row r="178">
      <c r="D178" s="2"/>
    </row>
    <row r="179">
      <c r="D179" s="2"/>
    </row>
    <row r="180">
      <c r="D180" s="2"/>
    </row>
    <row r="181">
      <c r="D181" s="2"/>
    </row>
    <row r="182">
      <c r="D182" s="2"/>
    </row>
    <row r="183">
      <c r="D183" s="2"/>
    </row>
    <row r="184">
      <c r="D184" s="2"/>
    </row>
    <row r="185">
      <c r="D185" s="2"/>
    </row>
    <row r="186">
      <c r="D186" s="2"/>
    </row>
    <row r="187">
      <c r="D187" s="2"/>
    </row>
    <row r="188">
      <c r="D188" s="2"/>
    </row>
    <row r="189">
      <c r="D189" s="2"/>
    </row>
    <row r="190">
      <c r="D190" s="2"/>
    </row>
    <row r="191">
      <c r="D191" s="2"/>
    </row>
    <row r="192">
      <c r="D192" s="2"/>
    </row>
    <row r="193">
      <c r="D193" s="2"/>
    </row>
    <row r="194">
      <c r="D194" s="2"/>
    </row>
    <row r="195">
      <c r="D195" s="2"/>
    </row>
    <row r="196">
      <c r="D196" s="2"/>
    </row>
    <row r="197">
      <c r="D197" s="2"/>
    </row>
    <row r="198">
      <c r="D198" s="2"/>
    </row>
    <row r="199">
      <c r="D199" s="2"/>
    </row>
    <row r="200">
      <c r="D200" s="2"/>
    </row>
    <row r="201">
      <c r="D201" s="2"/>
    </row>
    <row r="202">
      <c r="D202" s="2"/>
    </row>
    <row r="203">
      <c r="D203" s="2"/>
    </row>
    <row r="204">
      <c r="D204" s="2"/>
    </row>
    <row r="205">
      <c r="D205" s="2"/>
    </row>
    <row r="206">
      <c r="D206" s="2"/>
    </row>
    <row r="207">
      <c r="D207" s="2"/>
    </row>
    <row r="208">
      <c r="D208" s="2"/>
    </row>
    <row r="209">
      <c r="D209" s="2"/>
    </row>
    <row r="210">
      <c r="D210" s="2"/>
    </row>
    <row r="211">
      <c r="D211" s="2"/>
    </row>
    <row r="212">
      <c r="D212" s="2"/>
    </row>
    <row r="213">
      <c r="D213" s="2"/>
    </row>
    <row r="214">
      <c r="D214" s="2"/>
    </row>
    <row r="215">
      <c r="D215" s="2"/>
    </row>
    <row r="216">
      <c r="D216" s="2"/>
    </row>
    <row r="217">
      <c r="D217" s="2"/>
    </row>
    <row r="218">
      <c r="D218" s="2"/>
    </row>
    <row r="219">
      <c r="D219" s="2"/>
    </row>
    <row r="220">
      <c r="D220" s="2"/>
    </row>
    <row r="221">
      <c r="D221" s="2"/>
    </row>
    <row r="222">
      <c r="D222" s="2"/>
    </row>
    <row r="223">
      <c r="D223" s="2"/>
    </row>
    <row r="224">
      <c r="D224" s="2"/>
    </row>
    <row r="225">
      <c r="D225" s="2"/>
    </row>
    <row r="226">
      <c r="D226" s="2"/>
    </row>
    <row r="227">
      <c r="D227" s="2"/>
    </row>
    <row r="228">
      <c r="D228" s="2"/>
    </row>
    <row r="229">
      <c r="D229" s="2"/>
    </row>
    <row r="230">
      <c r="D230" s="2"/>
    </row>
    <row r="231">
      <c r="D231" s="2"/>
    </row>
    <row r="232">
      <c r="D232" s="2"/>
    </row>
    <row r="233">
      <c r="D233" s="2"/>
    </row>
    <row r="234">
      <c r="D234" s="2"/>
    </row>
    <row r="235">
      <c r="D235" s="2"/>
    </row>
    <row r="236">
      <c r="D236" s="2"/>
    </row>
    <row r="237">
      <c r="D237" s="2"/>
    </row>
    <row r="238">
      <c r="D238" s="2"/>
    </row>
    <row r="239">
      <c r="D239" s="2"/>
    </row>
    <row r="240">
      <c r="D240" s="2"/>
    </row>
    <row r="241">
      <c r="D241" s="2"/>
    </row>
    <row r="242">
      <c r="D242" s="2"/>
    </row>
    <row r="243">
      <c r="D243" s="2"/>
    </row>
    <row r="244">
      <c r="D244" s="2"/>
    </row>
    <row r="245">
      <c r="D245" s="2"/>
    </row>
    <row r="246">
      <c r="D246" s="2"/>
    </row>
    <row r="247">
      <c r="D247" s="2"/>
    </row>
    <row r="248">
      <c r="D248" s="2"/>
    </row>
    <row r="249">
      <c r="D249" s="2"/>
    </row>
    <row r="250">
      <c r="D250" s="2"/>
    </row>
    <row r="251">
      <c r="D251" s="2"/>
    </row>
    <row r="252">
      <c r="D252" s="2"/>
    </row>
    <row r="253">
      <c r="D253" s="2"/>
    </row>
    <row r="254">
      <c r="D254" s="2"/>
    </row>
    <row r="255">
      <c r="D255" s="2"/>
    </row>
    <row r="256">
      <c r="D256" s="2"/>
    </row>
    <row r="257">
      <c r="D257" s="2"/>
    </row>
    <row r="258">
      <c r="D258" s="2"/>
    </row>
    <row r="259">
      <c r="D259" s="2"/>
    </row>
    <row r="260">
      <c r="D260" s="2"/>
    </row>
    <row r="261">
      <c r="D261" s="2"/>
    </row>
    <row r="262">
      <c r="D262" s="2"/>
    </row>
    <row r="263">
      <c r="D263" s="2"/>
    </row>
    <row r="264">
      <c r="D264" s="2"/>
    </row>
    <row r="265">
      <c r="D265" s="2"/>
    </row>
    <row r="266">
      <c r="D266" s="2"/>
    </row>
    <row r="267">
      <c r="D267" s="2"/>
    </row>
    <row r="268">
      <c r="D268" s="2"/>
    </row>
    <row r="269">
      <c r="D269" s="2"/>
    </row>
    <row r="270">
      <c r="D270" s="2"/>
    </row>
    <row r="271">
      <c r="D271" s="2"/>
    </row>
    <row r="272">
      <c r="D272" s="2"/>
    </row>
    <row r="273">
      <c r="D273" s="2"/>
    </row>
    <row r="274">
      <c r="D274" s="2"/>
    </row>
    <row r="275">
      <c r="D275" s="2"/>
    </row>
    <row r="276">
      <c r="D276" s="2"/>
    </row>
    <row r="277">
      <c r="D277" s="2"/>
    </row>
    <row r="278">
      <c r="D278" s="2"/>
    </row>
    <row r="279">
      <c r="D279" s="2"/>
    </row>
    <row r="280">
      <c r="D280" s="2"/>
    </row>
    <row r="281">
      <c r="D281" s="2"/>
    </row>
    <row r="282">
      <c r="D282" s="2"/>
    </row>
    <row r="283">
      <c r="D283" s="2"/>
    </row>
    <row r="284">
      <c r="D284" s="2"/>
    </row>
    <row r="285">
      <c r="D285" s="2"/>
    </row>
    <row r="286">
      <c r="D286" s="2"/>
    </row>
    <row r="287">
      <c r="D287" s="2"/>
    </row>
    <row r="288">
      <c r="D288" s="2"/>
    </row>
    <row r="289">
      <c r="D289" s="2"/>
    </row>
    <row r="290">
      <c r="D290" s="2"/>
    </row>
    <row r="291">
      <c r="D291" s="2"/>
    </row>
    <row r="292">
      <c r="D292" s="2"/>
    </row>
    <row r="293">
      <c r="D293" s="2"/>
    </row>
    <row r="294">
      <c r="D294" s="2"/>
    </row>
    <row r="295">
      <c r="D295" s="2"/>
    </row>
    <row r="296">
      <c r="D296" s="2"/>
    </row>
    <row r="297">
      <c r="D297" s="2"/>
    </row>
    <row r="298">
      <c r="D298" s="2"/>
    </row>
    <row r="299">
      <c r="D299" s="2"/>
    </row>
    <row r="300">
      <c r="D300" s="2"/>
    </row>
    <row r="301">
      <c r="D301" s="2"/>
    </row>
    <row r="302">
      <c r="D302" s="2"/>
    </row>
    <row r="303">
      <c r="D303" s="2"/>
    </row>
    <row r="304">
      <c r="D304" s="2"/>
    </row>
    <row r="305">
      <c r="D305" s="2"/>
    </row>
    <row r="306">
      <c r="D306" s="2"/>
    </row>
    <row r="307">
      <c r="D307" s="2"/>
    </row>
    <row r="308">
      <c r="D308" s="2"/>
    </row>
    <row r="309">
      <c r="D309" s="2"/>
    </row>
    <row r="310">
      <c r="D310" s="2"/>
    </row>
    <row r="311">
      <c r="D311" s="2"/>
    </row>
    <row r="312">
      <c r="D312" s="2"/>
    </row>
    <row r="313">
      <c r="D313" s="2"/>
    </row>
    <row r="314">
      <c r="D314" s="2"/>
    </row>
    <row r="315">
      <c r="D315" s="2"/>
    </row>
    <row r="316">
      <c r="D316" s="2"/>
    </row>
    <row r="317">
      <c r="D317" s="2"/>
    </row>
    <row r="318">
      <c r="D318" s="2"/>
    </row>
    <row r="319">
      <c r="D319" s="2"/>
    </row>
    <row r="320">
      <c r="D320" s="2"/>
    </row>
    <row r="321">
      <c r="D321" s="2"/>
    </row>
    <row r="322">
      <c r="D322" s="2"/>
    </row>
    <row r="323">
      <c r="D323" s="2"/>
    </row>
    <row r="324">
      <c r="D324" s="2"/>
    </row>
    <row r="325">
      <c r="D325" s="2"/>
    </row>
    <row r="326">
      <c r="D326" s="2"/>
    </row>
    <row r="327">
      <c r="D327" s="2"/>
    </row>
    <row r="328">
      <c r="D328" s="2"/>
    </row>
    <row r="329">
      <c r="D329" s="2"/>
    </row>
    <row r="330">
      <c r="D330" s="2"/>
    </row>
    <row r="331">
      <c r="D331" s="2"/>
    </row>
    <row r="332">
      <c r="D332" s="2"/>
    </row>
    <row r="333">
      <c r="D333" s="2"/>
    </row>
    <row r="334">
      <c r="D334" s="2"/>
    </row>
    <row r="335">
      <c r="D335" s="2"/>
    </row>
    <row r="336">
      <c r="D336" s="2"/>
    </row>
    <row r="337">
      <c r="D337" s="2"/>
    </row>
    <row r="338">
      <c r="D338" s="2"/>
    </row>
    <row r="339">
      <c r="D339" s="2"/>
    </row>
    <row r="340">
      <c r="D340" s="2"/>
    </row>
    <row r="341">
      <c r="D341" s="2"/>
    </row>
    <row r="342">
      <c r="D342" s="2"/>
    </row>
    <row r="343">
      <c r="D343" s="2"/>
    </row>
    <row r="344">
      <c r="D344" s="2"/>
    </row>
    <row r="345">
      <c r="D345" s="2"/>
    </row>
    <row r="346">
      <c r="D346" s="2"/>
    </row>
    <row r="347">
      <c r="D347" s="2"/>
    </row>
    <row r="348">
      <c r="D348" s="2"/>
    </row>
    <row r="349">
      <c r="D349" s="2"/>
    </row>
    <row r="350">
      <c r="D350" s="2"/>
    </row>
    <row r="351">
      <c r="D351" s="2"/>
    </row>
    <row r="352">
      <c r="D352" s="2"/>
    </row>
    <row r="353">
      <c r="D353" s="2"/>
    </row>
    <row r="354">
      <c r="D354" s="2"/>
    </row>
    <row r="355">
      <c r="D355" s="2"/>
    </row>
    <row r="356">
      <c r="D356" s="2"/>
    </row>
    <row r="357">
      <c r="D357" s="2"/>
    </row>
    <row r="358">
      <c r="D358" s="2"/>
    </row>
    <row r="359">
      <c r="D359" s="2"/>
    </row>
    <row r="360">
      <c r="D360" s="2"/>
    </row>
    <row r="361">
      <c r="D361" s="2"/>
    </row>
    <row r="362">
      <c r="D362" s="2"/>
    </row>
    <row r="363">
      <c r="D363" s="2"/>
    </row>
    <row r="364">
      <c r="D364" s="2"/>
    </row>
    <row r="365">
      <c r="D365" s="2"/>
    </row>
    <row r="366">
      <c r="D366" s="2"/>
    </row>
    <row r="367">
      <c r="D367" s="2"/>
    </row>
    <row r="368">
      <c r="D368" s="2"/>
    </row>
    <row r="369">
      <c r="D369" s="2"/>
    </row>
    <row r="370">
      <c r="D370" s="2"/>
    </row>
    <row r="371">
      <c r="D371" s="2"/>
    </row>
    <row r="372">
      <c r="D372" s="2"/>
    </row>
    <row r="373">
      <c r="D373" s="2"/>
    </row>
    <row r="374">
      <c r="D374" s="2"/>
    </row>
    <row r="375">
      <c r="D375" s="2"/>
    </row>
    <row r="376">
      <c r="D376" s="2"/>
    </row>
    <row r="377">
      <c r="D377" s="2"/>
    </row>
    <row r="378">
      <c r="D378" s="2"/>
    </row>
    <row r="379">
      <c r="D379" s="2"/>
    </row>
    <row r="380">
      <c r="D380" s="2"/>
    </row>
    <row r="381">
      <c r="D381" s="2"/>
    </row>
    <row r="382">
      <c r="D382" s="2"/>
    </row>
    <row r="383">
      <c r="D383" s="2"/>
    </row>
    <row r="384">
      <c r="D384" s="2"/>
    </row>
    <row r="385">
      <c r="D385" s="2"/>
    </row>
    <row r="386">
      <c r="D386" s="2"/>
    </row>
    <row r="387">
      <c r="D387" s="2"/>
    </row>
    <row r="388">
      <c r="D388" s="2"/>
    </row>
    <row r="389">
      <c r="D389" s="2"/>
    </row>
    <row r="390">
      <c r="D390" s="2"/>
    </row>
    <row r="391">
      <c r="D391" s="2"/>
    </row>
    <row r="392">
      <c r="D392" s="2"/>
    </row>
    <row r="393">
      <c r="D393" s="2"/>
    </row>
    <row r="394">
      <c r="D394" s="2"/>
    </row>
    <row r="395">
      <c r="D395" s="2"/>
    </row>
    <row r="396">
      <c r="D396" s="2"/>
    </row>
    <row r="397">
      <c r="D397" s="2"/>
    </row>
    <row r="398">
      <c r="D398" s="2"/>
    </row>
    <row r="399">
      <c r="D399" s="2"/>
    </row>
    <row r="400">
      <c r="D400" s="2"/>
    </row>
    <row r="401">
      <c r="D401" s="2"/>
    </row>
    <row r="402">
      <c r="D402" s="2"/>
    </row>
    <row r="403">
      <c r="D403" s="2"/>
    </row>
    <row r="404">
      <c r="D404" s="2"/>
    </row>
    <row r="405">
      <c r="D405" s="2"/>
    </row>
    <row r="406">
      <c r="D406" s="2"/>
    </row>
    <row r="407">
      <c r="D407" s="2"/>
    </row>
    <row r="408">
      <c r="D408" s="2"/>
    </row>
    <row r="409">
      <c r="D409" s="2"/>
    </row>
    <row r="410">
      <c r="D410" s="2"/>
    </row>
    <row r="411">
      <c r="D411" s="2"/>
    </row>
    <row r="412">
      <c r="D412" s="2"/>
    </row>
    <row r="413">
      <c r="D413" s="2"/>
    </row>
    <row r="414">
      <c r="D414" s="2"/>
    </row>
    <row r="415">
      <c r="D415" s="2"/>
    </row>
    <row r="416">
      <c r="D416" s="2"/>
    </row>
    <row r="417">
      <c r="D417" s="2"/>
    </row>
    <row r="418">
      <c r="D418" s="2"/>
    </row>
    <row r="419">
      <c r="D419" s="2"/>
    </row>
    <row r="420">
      <c r="D420" s="2"/>
    </row>
    <row r="421">
      <c r="D421" s="2"/>
    </row>
    <row r="422">
      <c r="D422" s="2"/>
    </row>
    <row r="423">
      <c r="D423" s="2"/>
    </row>
    <row r="424">
      <c r="D424" s="2"/>
    </row>
    <row r="425">
      <c r="D425" s="2"/>
    </row>
    <row r="426">
      <c r="D426" s="2"/>
    </row>
    <row r="427">
      <c r="D427" s="2"/>
    </row>
    <row r="428">
      <c r="D428" s="2"/>
    </row>
    <row r="429">
      <c r="D429" s="2"/>
    </row>
    <row r="430">
      <c r="D430" s="2"/>
    </row>
    <row r="431">
      <c r="D431" s="2"/>
    </row>
    <row r="432">
      <c r="D432" s="2"/>
    </row>
    <row r="433">
      <c r="D433" s="2"/>
    </row>
    <row r="434">
      <c r="D434" s="2"/>
    </row>
    <row r="435">
      <c r="D435" s="2"/>
    </row>
    <row r="436">
      <c r="D436" s="2"/>
    </row>
    <row r="437">
      <c r="D437" s="2"/>
    </row>
    <row r="438">
      <c r="D438" s="2"/>
    </row>
    <row r="439">
      <c r="D439" s="2"/>
    </row>
    <row r="440">
      <c r="D440" s="2"/>
    </row>
    <row r="441">
      <c r="D441" s="2"/>
    </row>
    <row r="442">
      <c r="D442" s="2"/>
    </row>
    <row r="443">
      <c r="D443" s="2"/>
    </row>
    <row r="444">
      <c r="D444" s="2"/>
    </row>
    <row r="445">
      <c r="D445" s="2"/>
    </row>
    <row r="446">
      <c r="D446" s="2"/>
    </row>
    <row r="447">
      <c r="D447" s="2"/>
    </row>
    <row r="448">
      <c r="D448" s="2"/>
    </row>
    <row r="449">
      <c r="D449" s="2"/>
    </row>
    <row r="450">
      <c r="D450" s="2"/>
    </row>
    <row r="451">
      <c r="D451" s="2"/>
    </row>
    <row r="452">
      <c r="D452" s="2"/>
    </row>
    <row r="453">
      <c r="D453" s="2"/>
    </row>
    <row r="454">
      <c r="D454" s="2"/>
    </row>
    <row r="455">
      <c r="D455" s="2"/>
    </row>
    <row r="456">
      <c r="D456" s="2"/>
    </row>
    <row r="457">
      <c r="D457" s="2"/>
    </row>
    <row r="458">
      <c r="D458" s="2"/>
    </row>
    <row r="459">
      <c r="D459" s="2"/>
    </row>
    <row r="460">
      <c r="D460" s="2"/>
    </row>
    <row r="461">
      <c r="D461" s="2"/>
    </row>
    <row r="462">
      <c r="D462" s="2"/>
    </row>
    <row r="463">
      <c r="D463" s="2"/>
    </row>
    <row r="464">
      <c r="D464" s="2"/>
    </row>
    <row r="465">
      <c r="D465" s="2"/>
    </row>
    <row r="466">
      <c r="D466" s="2"/>
    </row>
    <row r="467">
      <c r="D467" s="2"/>
    </row>
    <row r="468">
      <c r="D468" s="2"/>
    </row>
    <row r="469">
      <c r="D469" s="2"/>
    </row>
    <row r="470">
      <c r="D470" s="2"/>
    </row>
    <row r="471">
      <c r="D471" s="2"/>
    </row>
    <row r="472">
      <c r="D472" s="2"/>
    </row>
    <row r="473">
      <c r="D473" s="2"/>
    </row>
    <row r="474">
      <c r="D474" s="2"/>
    </row>
    <row r="475">
      <c r="D475" s="2"/>
    </row>
    <row r="476">
      <c r="D476" s="2"/>
    </row>
    <row r="477">
      <c r="D477" s="2"/>
    </row>
    <row r="478">
      <c r="D478" s="2"/>
    </row>
    <row r="479">
      <c r="D479" s="2"/>
    </row>
    <row r="480">
      <c r="D480" s="2"/>
    </row>
    <row r="481">
      <c r="D481" s="2"/>
    </row>
    <row r="482">
      <c r="D482" s="2"/>
    </row>
    <row r="483">
      <c r="D483" s="2"/>
    </row>
    <row r="484">
      <c r="D484" s="2"/>
    </row>
    <row r="485">
      <c r="D485" s="2"/>
    </row>
    <row r="486">
      <c r="D486" s="2"/>
    </row>
    <row r="487">
      <c r="D487" s="2"/>
    </row>
    <row r="488">
      <c r="D488" s="2"/>
    </row>
    <row r="489">
      <c r="D489" s="2"/>
    </row>
    <row r="490">
      <c r="D490" s="2"/>
    </row>
    <row r="491">
      <c r="D491" s="2"/>
    </row>
    <row r="492">
      <c r="D492" s="2"/>
    </row>
    <row r="493">
      <c r="D493" s="2"/>
    </row>
    <row r="494">
      <c r="D494" s="2"/>
    </row>
    <row r="495">
      <c r="D495" s="2"/>
    </row>
    <row r="496">
      <c r="D496" s="2"/>
    </row>
    <row r="497">
      <c r="D497" s="2"/>
    </row>
    <row r="498">
      <c r="D498" s="2"/>
    </row>
    <row r="499">
      <c r="D499" s="2"/>
    </row>
    <row r="500">
      <c r="D500" s="2"/>
    </row>
    <row r="501">
      <c r="D501" s="2"/>
    </row>
    <row r="502">
      <c r="D502" s="2"/>
    </row>
    <row r="503">
      <c r="D503" s="2"/>
    </row>
    <row r="504">
      <c r="D504" s="2"/>
    </row>
    <row r="505">
      <c r="D505" s="2"/>
    </row>
    <row r="506">
      <c r="D506" s="2"/>
    </row>
    <row r="507">
      <c r="D507" s="2"/>
    </row>
    <row r="508">
      <c r="D508" s="2"/>
    </row>
    <row r="509">
      <c r="D509" s="2"/>
    </row>
    <row r="510">
      <c r="D510" s="2"/>
    </row>
    <row r="511">
      <c r="D511" s="2"/>
    </row>
    <row r="512">
      <c r="D512" s="2"/>
    </row>
    <row r="513">
      <c r="D513" s="2"/>
    </row>
    <row r="514">
      <c r="D514" s="2"/>
    </row>
    <row r="515">
      <c r="D515" s="2"/>
    </row>
    <row r="516">
      <c r="D516" s="2"/>
    </row>
    <row r="517">
      <c r="D517" s="2"/>
    </row>
    <row r="518">
      <c r="D518" s="2"/>
    </row>
    <row r="519">
      <c r="D519" s="2"/>
    </row>
    <row r="520">
      <c r="D520" s="2"/>
    </row>
    <row r="521">
      <c r="D521" s="2"/>
    </row>
    <row r="522">
      <c r="D522" s="2"/>
    </row>
    <row r="523">
      <c r="D523" s="2"/>
    </row>
    <row r="524">
      <c r="D524" s="2"/>
    </row>
    <row r="525">
      <c r="D525" s="2"/>
    </row>
    <row r="526">
      <c r="D526" s="2"/>
    </row>
    <row r="527">
      <c r="D527" s="2"/>
    </row>
    <row r="528">
      <c r="D528" s="2"/>
    </row>
    <row r="529">
      <c r="D529" s="2"/>
    </row>
    <row r="530">
      <c r="D530" s="2"/>
    </row>
    <row r="531">
      <c r="D531" s="2"/>
    </row>
    <row r="532">
      <c r="D532" s="2"/>
    </row>
    <row r="533">
      <c r="D533" s="2"/>
    </row>
    <row r="534">
      <c r="D534" s="2"/>
    </row>
    <row r="535">
      <c r="D535" s="2"/>
    </row>
    <row r="536">
      <c r="D536" s="2"/>
    </row>
    <row r="537">
      <c r="D537" s="2"/>
    </row>
    <row r="538">
      <c r="D538" s="2"/>
    </row>
    <row r="539">
      <c r="D539" s="2"/>
    </row>
    <row r="540">
      <c r="D540" s="2"/>
    </row>
    <row r="541">
      <c r="D541" s="2"/>
    </row>
    <row r="542">
      <c r="D542" s="2"/>
    </row>
    <row r="543">
      <c r="D543" s="2"/>
    </row>
    <row r="544">
      <c r="D544" s="2"/>
    </row>
    <row r="545">
      <c r="D545" s="2"/>
    </row>
    <row r="546">
      <c r="D546" s="2"/>
    </row>
    <row r="547">
      <c r="D547" s="2"/>
    </row>
    <row r="548">
      <c r="D548" s="2"/>
    </row>
    <row r="549">
      <c r="D549" s="2"/>
    </row>
    <row r="550">
      <c r="D550" s="2"/>
    </row>
    <row r="551">
      <c r="D551" s="2"/>
    </row>
    <row r="552">
      <c r="D552" s="2"/>
    </row>
    <row r="553">
      <c r="D553" s="2"/>
    </row>
    <row r="554">
      <c r="D554" s="2"/>
    </row>
    <row r="555">
      <c r="D555" s="2"/>
    </row>
    <row r="556">
      <c r="D556" s="2"/>
    </row>
    <row r="557">
      <c r="D557" s="2"/>
    </row>
    <row r="558">
      <c r="D558" s="2"/>
    </row>
    <row r="559">
      <c r="D559" s="2"/>
    </row>
    <row r="560">
      <c r="D560" s="2"/>
    </row>
    <row r="561">
      <c r="D561" s="2"/>
    </row>
    <row r="562">
      <c r="D562" s="2"/>
    </row>
    <row r="563">
      <c r="D563" s="2"/>
    </row>
    <row r="564">
      <c r="D564" s="2"/>
    </row>
    <row r="565">
      <c r="D565" s="2"/>
    </row>
    <row r="566">
      <c r="D566" s="2"/>
    </row>
    <row r="567">
      <c r="D567" s="2"/>
    </row>
    <row r="568">
      <c r="D568" s="2"/>
    </row>
    <row r="569">
      <c r="D569" s="2"/>
    </row>
    <row r="570">
      <c r="D570" s="2"/>
    </row>
    <row r="571">
      <c r="D571" s="2"/>
    </row>
    <row r="572">
      <c r="D572" s="2"/>
    </row>
    <row r="573">
      <c r="D573" s="2"/>
    </row>
    <row r="574">
      <c r="D574" s="2"/>
    </row>
    <row r="575">
      <c r="D575" s="2"/>
    </row>
    <row r="576">
      <c r="D576" s="2"/>
    </row>
    <row r="577">
      <c r="D577" s="2"/>
    </row>
    <row r="578">
      <c r="D578" s="2"/>
    </row>
    <row r="579">
      <c r="D579" s="2"/>
    </row>
    <row r="580">
      <c r="D580" s="2"/>
    </row>
    <row r="581">
      <c r="D581" s="2"/>
    </row>
    <row r="582">
      <c r="D582" s="2"/>
    </row>
    <row r="583">
      <c r="D583" s="2"/>
    </row>
    <row r="584">
      <c r="D584" s="2"/>
    </row>
    <row r="585">
      <c r="D585" s="2"/>
    </row>
    <row r="586">
      <c r="D586" s="2"/>
    </row>
    <row r="587">
      <c r="D587" s="2"/>
    </row>
    <row r="588">
      <c r="D588" s="2"/>
    </row>
    <row r="589">
      <c r="D589" s="2"/>
    </row>
    <row r="590">
      <c r="D590" s="2"/>
    </row>
    <row r="591">
      <c r="D591" s="2"/>
    </row>
    <row r="592">
      <c r="D592" s="2"/>
    </row>
    <row r="593">
      <c r="D593" s="2"/>
    </row>
    <row r="594">
      <c r="D594" s="2"/>
    </row>
    <row r="595">
      <c r="D595" s="2"/>
    </row>
    <row r="596">
      <c r="D596" s="2"/>
    </row>
    <row r="597">
      <c r="D597" s="2"/>
    </row>
    <row r="598">
      <c r="D598" s="2"/>
    </row>
    <row r="599">
      <c r="D599" s="2"/>
    </row>
    <row r="600">
      <c r="D600" s="2"/>
    </row>
    <row r="601">
      <c r="D601" s="2"/>
    </row>
    <row r="602">
      <c r="D602" s="2"/>
    </row>
    <row r="603">
      <c r="D603" s="2"/>
    </row>
    <row r="604">
      <c r="D604" s="2"/>
    </row>
    <row r="605">
      <c r="D605" s="2"/>
    </row>
    <row r="606">
      <c r="D606" s="2"/>
    </row>
    <row r="607">
      <c r="D607" s="2"/>
    </row>
    <row r="608">
      <c r="D608" s="2"/>
    </row>
    <row r="609">
      <c r="D609" s="2"/>
    </row>
    <row r="610">
      <c r="D610" s="2"/>
    </row>
    <row r="611">
      <c r="D611" s="2"/>
    </row>
    <row r="612">
      <c r="D612" s="2"/>
    </row>
    <row r="613">
      <c r="D613" s="2"/>
    </row>
    <row r="614">
      <c r="D614" s="2"/>
    </row>
    <row r="615">
      <c r="D615" s="2"/>
    </row>
    <row r="616">
      <c r="D616" s="2"/>
    </row>
    <row r="617">
      <c r="D617" s="2"/>
    </row>
    <row r="618">
      <c r="D618" s="2"/>
    </row>
    <row r="619">
      <c r="D619" s="2"/>
    </row>
    <row r="620">
      <c r="D620" s="2"/>
    </row>
    <row r="621">
      <c r="D621" s="2"/>
    </row>
    <row r="622">
      <c r="D622" s="2"/>
    </row>
    <row r="623">
      <c r="D623" s="2"/>
    </row>
    <row r="624">
      <c r="D624" s="2"/>
    </row>
    <row r="625">
      <c r="D625" s="2"/>
    </row>
    <row r="626">
      <c r="D626" s="2"/>
    </row>
    <row r="627">
      <c r="D627" s="2"/>
    </row>
    <row r="628">
      <c r="D628" s="2"/>
    </row>
    <row r="629">
      <c r="D629" s="2"/>
    </row>
    <row r="630">
      <c r="D630" s="2"/>
    </row>
    <row r="631">
      <c r="D631" s="2"/>
    </row>
    <row r="632">
      <c r="D632" s="2"/>
    </row>
    <row r="633">
      <c r="D633" s="2"/>
    </row>
    <row r="634">
      <c r="D634" s="2"/>
    </row>
    <row r="635">
      <c r="D635" s="2"/>
    </row>
    <row r="636">
      <c r="D636" s="2"/>
    </row>
    <row r="637">
      <c r="D637" s="2"/>
    </row>
    <row r="638">
      <c r="D638" s="2"/>
    </row>
    <row r="639">
      <c r="D639" s="2"/>
    </row>
    <row r="640">
      <c r="D640" s="2"/>
    </row>
    <row r="641">
      <c r="D641" s="2"/>
    </row>
    <row r="642">
      <c r="D642" s="2"/>
    </row>
    <row r="643">
      <c r="D643" s="2"/>
    </row>
    <row r="644">
      <c r="D644" s="2"/>
    </row>
    <row r="645">
      <c r="D645" s="2"/>
    </row>
    <row r="646">
      <c r="D646" s="2"/>
    </row>
    <row r="647">
      <c r="D647" s="2"/>
    </row>
    <row r="648">
      <c r="D648" s="2"/>
    </row>
    <row r="649">
      <c r="D649" s="2"/>
    </row>
    <row r="650">
      <c r="D650" s="2"/>
    </row>
    <row r="651">
      <c r="D651" s="2"/>
    </row>
    <row r="652">
      <c r="D652" s="2"/>
    </row>
    <row r="653">
      <c r="D653" s="2"/>
    </row>
    <row r="654">
      <c r="D654" s="2"/>
    </row>
    <row r="655">
      <c r="D655" s="2"/>
    </row>
    <row r="656">
      <c r="D656" s="2"/>
    </row>
    <row r="657">
      <c r="D657" s="2"/>
    </row>
    <row r="658">
      <c r="D658" s="2"/>
    </row>
    <row r="659">
      <c r="D659" s="2"/>
    </row>
    <row r="660">
      <c r="D660" s="2"/>
    </row>
    <row r="661">
      <c r="D661" s="2"/>
    </row>
    <row r="662">
      <c r="D662" s="2"/>
    </row>
    <row r="663">
      <c r="D663" s="2"/>
    </row>
    <row r="664">
      <c r="D664" s="2"/>
    </row>
    <row r="665">
      <c r="D665" s="2"/>
    </row>
    <row r="666">
      <c r="D666" s="2"/>
    </row>
    <row r="667">
      <c r="D667" s="2"/>
    </row>
    <row r="668">
      <c r="D668" s="2"/>
    </row>
    <row r="669">
      <c r="D669" s="2"/>
    </row>
    <row r="670">
      <c r="D670" s="2"/>
    </row>
    <row r="671">
      <c r="D671" s="2"/>
    </row>
    <row r="672">
      <c r="D672" s="2"/>
    </row>
    <row r="673">
      <c r="D673" s="2"/>
    </row>
    <row r="674">
      <c r="D674" s="2"/>
    </row>
    <row r="675">
      <c r="D675" s="2"/>
    </row>
    <row r="676">
      <c r="D676" s="2"/>
    </row>
    <row r="677">
      <c r="D677" s="2"/>
    </row>
    <row r="678">
      <c r="D678" s="2"/>
    </row>
    <row r="679">
      <c r="D679" s="2"/>
    </row>
    <row r="680">
      <c r="D680" s="2"/>
    </row>
    <row r="681">
      <c r="D681" s="2"/>
    </row>
    <row r="682">
      <c r="D682" s="2"/>
    </row>
    <row r="683">
      <c r="D683" s="2"/>
    </row>
    <row r="684">
      <c r="D684" s="2"/>
    </row>
    <row r="685">
      <c r="D685" s="2"/>
    </row>
    <row r="686">
      <c r="D686" s="2"/>
    </row>
    <row r="687">
      <c r="D687" s="2"/>
    </row>
    <row r="688">
      <c r="D688" s="2"/>
    </row>
    <row r="689">
      <c r="D689" s="2"/>
    </row>
    <row r="690">
      <c r="D690" s="2"/>
    </row>
    <row r="691">
      <c r="D691" s="2"/>
    </row>
    <row r="692">
      <c r="D692" s="2"/>
    </row>
    <row r="693">
      <c r="D693" s="2"/>
    </row>
    <row r="694">
      <c r="D694" s="2"/>
    </row>
    <row r="695">
      <c r="D695" s="2"/>
    </row>
    <row r="696">
      <c r="D696" s="2"/>
    </row>
    <row r="697">
      <c r="D697" s="2"/>
    </row>
    <row r="698">
      <c r="D698" s="2"/>
    </row>
    <row r="699">
      <c r="D699" s="2"/>
    </row>
    <row r="700">
      <c r="D700" s="2"/>
    </row>
    <row r="701">
      <c r="D701" s="2"/>
    </row>
    <row r="702">
      <c r="D702" s="2"/>
    </row>
    <row r="703">
      <c r="D703" s="2"/>
    </row>
    <row r="704">
      <c r="D704" s="2"/>
    </row>
    <row r="705">
      <c r="D705" s="2"/>
    </row>
    <row r="706">
      <c r="D706" s="2"/>
    </row>
    <row r="707">
      <c r="D707" s="2"/>
    </row>
    <row r="708">
      <c r="D708" s="2"/>
    </row>
    <row r="709">
      <c r="D709" s="2"/>
    </row>
    <row r="710">
      <c r="D710" s="2"/>
    </row>
    <row r="711">
      <c r="D711" s="2"/>
    </row>
    <row r="712">
      <c r="D712" s="2"/>
    </row>
    <row r="713">
      <c r="D713" s="2"/>
    </row>
    <row r="714">
      <c r="D714" s="2"/>
    </row>
    <row r="715">
      <c r="D715" s="2"/>
    </row>
    <row r="716">
      <c r="D716" s="2"/>
    </row>
    <row r="717">
      <c r="D717" s="2"/>
    </row>
    <row r="718">
      <c r="D718" s="2"/>
    </row>
    <row r="719">
      <c r="D719" s="2"/>
    </row>
    <row r="720">
      <c r="D720" s="2"/>
    </row>
    <row r="721">
      <c r="D721" s="2"/>
    </row>
    <row r="722">
      <c r="D722" s="2"/>
    </row>
    <row r="723">
      <c r="D723" s="2"/>
    </row>
    <row r="724">
      <c r="D724" s="2"/>
    </row>
    <row r="725">
      <c r="D725" s="2"/>
    </row>
    <row r="726">
      <c r="D726" s="2"/>
    </row>
    <row r="727">
      <c r="D727" s="2"/>
    </row>
    <row r="728">
      <c r="D728" s="2"/>
    </row>
    <row r="729">
      <c r="D729" s="2"/>
    </row>
    <row r="730">
      <c r="D730" s="2"/>
    </row>
    <row r="731">
      <c r="D731" s="2"/>
    </row>
    <row r="732">
      <c r="D732" s="2"/>
    </row>
    <row r="733">
      <c r="D733" s="2"/>
    </row>
    <row r="734">
      <c r="D734" s="2"/>
    </row>
    <row r="735">
      <c r="D735" s="2"/>
    </row>
    <row r="736">
      <c r="D736" s="2"/>
    </row>
    <row r="737">
      <c r="D737" s="2"/>
    </row>
    <row r="738">
      <c r="D738" s="2"/>
    </row>
    <row r="739">
      <c r="D739" s="2"/>
    </row>
    <row r="740">
      <c r="D740" s="2"/>
    </row>
    <row r="741">
      <c r="D741" s="2"/>
    </row>
    <row r="742">
      <c r="D742" s="2"/>
    </row>
    <row r="743">
      <c r="D743" s="2"/>
    </row>
    <row r="744">
      <c r="D744" s="2"/>
    </row>
    <row r="745">
      <c r="D745" s="2"/>
    </row>
    <row r="746">
      <c r="D746" s="2"/>
    </row>
    <row r="747">
      <c r="D747" s="2"/>
    </row>
    <row r="748">
      <c r="D748" s="2"/>
    </row>
    <row r="749">
      <c r="D749" s="2"/>
    </row>
    <row r="750">
      <c r="D750" s="2"/>
    </row>
    <row r="751">
      <c r="D751" s="2"/>
    </row>
    <row r="752">
      <c r="D752" s="2"/>
    </row>
    <row r="753">
      <c r="D753" s="2"/>
    </row>
    <row r="754">
      <c r="D754" s="2"/>
    </row>
    <row r="755">
      <c r="D755" s="2"/>
    </row>
    <row r="756">
      <c r="D756" s="2"/>
    </row>
    <row r="757">
      <c r="D757" s="2"/>
    </row>
    <row r="758">
      <c r="D758" s="2"/>
    </row>
    <row r="759">
      <c r="D759" s="2"/>
    </row>
    <row r="760">
      <c r="D760" s="2"/>
    </row>
    <row r="761">
      <c r="D761" s="2"/>
    </row>
    <row r="762">
      <c r="D762" s="2"/>
    </row>
    <row r="763">
      <c r="D763" s="2"/>
    </row>
    <row r="764">
      <c r="D764" s="2"/>
    </row>
    <row r="765">
      <c r="D765" s="2"/>
    </row>
    <row r="766">
      <c r="D766" s="2"/>
    </row>
    <row r="767">
      <c r="D767" s="2"/>
    </row>
    <row r="768">
      <c r="D768" s="2"/>
    </row>
    <row r="769">
      <c r="D769" s="2"/>
    </row>
    <row r="770">
      <c r="D770" s="2"/>
    </row>
    <row r="771">
      <c r="D771" s="2"/>
    </row>
    <row r="772">
      <c r="D772" s="2"/>
    </row>
    <row r="773">
      <c r="D773" s="2"/>
    </row>
    <row r="774">
      <c r="D774" s="2"/>
    </row>
    <row r="775">
      <c r="D775" s="2"/>
    </row>
    <row r="776">
      <c r="D776" s="2"/>
    </row>
    <row r="777">
      <c r="D777" s="2"/>
    </row>
    <row r="778">
      <c r="D778" s="2"/>
    </row>
    <row r="779">
      <c r="D779" s="2"/>
    </row>
    <row r="780">
      <c r="D780" s="2"/>
    </row>
    <row r="781">
      <c r="D781" s="2"/>
    </row>
    <row r="782">
      <c r="D782" s="2"/>
    </row>
    <row r="783">
      <c r="D783" s="2"/>
    </row>
    <row r="784">
      <c r="D784" s="2"/>
    </row>
    <row r="785">
      <c r="D785" s="2"/>
    </row>
    <row r="786">
      <c r="D786" s="2"/>
    </row>
    <row r="787">
      <c r="D787" s="2"/>
    </row>
    <row r="788">
      <c r="D788" s="2"/>
    </row>
    <row r="789">
      <c r="D789" s="2"/>
    </row>
    <row r="790">
      <c r="D790" s="2"/>
    </row>
    <row r="791">
      <c r="D791" s="2"/>
    </row>
    <row r="792">
      <c r="D792" s="2"/>
    </row>
    <row r="793">
      <c r="D793" s="2"/>
    </row>
    <row r="794">
      <c r="D794" s="2"/>
    </row>
    <row r="795">
      <c r="D795" s="2"/>
    </row>
    <row r="796">
      <c r="D796" s="2"/>
    </row>
    <row r="797">
      <c r="D797" s="2"/>
    </row>
    <row r="798">
      <c r="D798" s="2"/>
    </row>
    <row r="799">
      <c r="D799" s="2"/>
    </row>
    <row r="800">
      <c r="D800" s="2"/>
    </row>
    <row r="801">
      <c r="D801" s="2"/>
    </row>
    <row r="802">
      <c r="D802" s="2"/>
    </row>
    <row r="803">
      <c r="D803" s="2"/>
    </row>
    <row r="804">
      <c r="D804" s="2"/>
    </row>
    <row r="805">
      <c r="D805" s="2"/>
    </row>
    <row r="806">
      <c r="D806" s="2"/>
    </row>
    <row r="807">
      <c r="D807" s="2"/>
    </row>
    <row r="808">
      <c r="D808" s="2"/>
    </row>
    <row r="809">
      <c r="D809" s="2"/>
    </row>
    <row r="810">
      <c r="D810" s="2"/>
    </row>
    <row r="811">
      <c r="D811" s="2"/>
    </row>
    <row r="812">
      <c r="D812" s="2"/>
    </row>
    <row r="813">
      <c r="D813" s="2"/>
    </row>
    <row r="814">
      <c r="D814" s="2"/>
    </row>
    <row r="815">
      <c r="D815" s="2"/>
    </row>
    <row r="816">
      <c r="D816" s="2"/>
    </row>
    <row r="817">
      <c r="D817" s="2"/>
    </row>
    <row r="818">
      <c r="D818" s="2"/>
    </row>
    <row r="819">
      <c r="D819" s="2"/>
    </row>
    <row r="820">
      <c r="D820" s="2"/>
    </row>
    <row r="821">
      <c r="D821" s="2"/>
    </row>
    <row r="822">
      <c r="D822" s="2"/>
    </row>
    <row r="823">
      <c r="D823" s="2"/>
    </row>
    <row r="824">
      <c r="D824" s="2"/>
    </row>
    <row r="825">
      <c r="D825" s="2"/>
    </row>
    <row r="826">
      <c r="D826" s="2"/>
    </row>
    <row r="827">
      <c r="D827" s="2"/>
    </row>
    <row r="828">
      <c r="D828" s="2"/>
    </row>
    <row r="829">
      <c r="D829" s="2"/>
    </row>
    <row r="830">
      <c r="D830" s="2"/>
    </row>
    <row r="831">
      <c r="D831" s="2"/>
    </row>
    <row r="832">
      <c r="D832" s="2"/>
    </row>
    <row r="833">
      <c r="D833" s="2"/>
    </row>
    <row r="834">
      <c r="D834" s="2"/>
    </row>
    <row r="835">
      <c r="D835" s="2"/>
    </row>
    <row r="836">
      <c r="D836" s="2"/>
    </row>
    <row r="837">
      <c r="D837" s="2"/>
    </row>
    <row r="838">
      <c r="D838" s="2"/>
    </row>
    <row r="839">
      <c r="D839" s="2"/>
    </row>
    <row r="840">
      <c r="D840" s="2"/>
    </row>
    <row r="841">
      <c r="D841" s="2"/>
    </row>
    <row r="842">
      <c r="D842" s="2"/>
    </row>
    <row r="843">
      <c r="D843" s="2"/>
    </row>
    <row r="844">
      <c r="D844" s="2"/>
    </row>
    <row r="845">
      <c r="D845" s="2"/>
    </row>
    <row r="846">
      <c r="D846" s="2"/>
    </row>
    <row r="847">
      <c r="D847" s="2"/>
    </row>
    <row r="848">
      <c r="D848" s="2"/>
    </row>
    <row r="849">
      <c r="D849" s="2"/>
    </row>
    <row r="850">
      <c r="D850" s="2"/>
    </row>
    <row r="851">
      <c r="D851" s="2"/>
    </row>
    <row r="852">
      <c r="D852" s="2"/>
    </row>
    <row r="853">
      <c r="D853" s="2"/>
    </row>
    <row r="854">
      <c r="D854" s="2"/>
    </row>
    <row r="855">
      <c r="D855" s="2"/>
    </row>
    <row r="856">
      <c r="D856" s="2"/>
    </row>
    <row r="857">
      <c r="D857" s="2"/>
    </row>
    <row r="858">
      <c r="D858" s="2"/>
    </row>
    <row r="859">
      <c r="D859" s="2"/>
    </row>
    <row r="860">
      <c r="D860" s="2"/>
    </row>
    <row r="861">
      <c r="D861" s="2"/>
    </row>
    <row r="862">
      <c r="D862" s="2"/>
    </row>
    <row r="863">
      <c r="D863" s="2"/>
    </row>
    <row r="864">
      <c r="D864" s="2"/>
    </row>
    <row r="865">
      <c r="D865" s="2"/>
    </row>
    <row r="866">
      <c r="D866" s="2"/>
    </row>
    <row r="867">
      <c r="D867" s="2"/>
    </row>
    <row r="868">
      <c r="D868" s="2"/>
    </row>
    <row r="869">
      <c r="D869" s="2"/>
    </row>
    <row r="870">
      <c r="D870" s="2"/>
    </row>
    <row r="871">
      <c r="D871" s="2"/>
    </row>
    <row r="872">
      <c r="D872" s="2"/>
    </row>
    <row r="873">
      <c r="D873" s="2"/>
    </row>
    <row r="874">
      <c r="D874" s="2"/>
    </row>
    <row r="875">
      <c r="D875" s="2"/>
    </row>
    <row r="876">
      <c r="D876" s="2"/>
    </row>
    <row r="877">
      <c r="D877" s="2"/>
    </row>
    <row r="878">
      <c r="D878" s="2"/>
    </row>
    <row r="879">
      <c r="D879" s="2"/>
    </row>
    <row r="880">
      <c r="D880" s="2"/>
    </row>
    <row r="881">
      <c r="D881" s="2"/>
    </row>
    <row r="882">
      <c r="D882" s="2"/>
    </row>
    <row r="883">
      <c r="D883" s="2"/>
    </row>
    <row r="884">
      <c r="D884" s="2"/>
    </row>
    <row r="885">
      <c r="D885" s="2"/>
    </row>
    <row r="886">
      <c r="D886" s="2"/>
    </row>
    <row r="887">
      <c r="D887" s="2"/>
    </row>
  </sheetData>
  <mergeCells count="1">
    <mergeCell ref="A4:B4"/>
  </mergeCells>
  <drawing r:id="rId4"/>
  <legacyDrawing r:id="rId5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13"/>
  </cols>
  <sheetData>
    <row r="1">
      <c r="A1" s="4" t="s">
        <v>60</v>
      </c>
      <c r="B1" s="62" t="s">
        <v>62</v>
      </c>
      <c r="C1" s="62" t="s">
        <v>249</v>
      </c>
      <c r="D1" s="12" t="s">
        <v>48</v>
      </c>
    </row>
    <row r="2">
      <c r="A2" s="80">
        <v>45349.0</v>
      </c>
      <c r="B2" s="5" t="s">
        <v>690</v>
      </c>
      <c r="C2" s="8"/>
      <c r="D2" s="8">
        <v>500.0</v>
      </c>
      <c r="E2" s="9"/>
      <c r="F2" s="5" t="s">
        <v>691</v>
      </c>
      <c r="G2" s="7">
        <f>sum(D2:D99)</f>
        <v>3500</v>
      </c>
    </row>
    <row r="3">
      <c r="A3" s="79">
        <v>45660.0</v>
      </c>
      <c r="B3" s="4" t="s">
        <v>690</v>
      </c>
      <c r="D3" s="12">
        <v>300.0</v>
      </c>
    </row>
    <row r="4">
      <c r="A4" s="79">
        <v>45660.0</v>
      </c>
      <c r="B4" s="4" t="s">
        <v>690</v>
      </c>
      <c r="D4" s="12">
        <v>650.0</v>
      </c>
    </row>
    <row r="5">
      <c r="A5" s="79">
        <v>45714.0</v>
      </c>
      <c r="B5" s="4" t="s">
        <v>690</v>
      </c>
      <c r="D5" s="12">
        <v>1000.0</v>
      </c>
    </row>
    <row r="6">
      <c r="A6" s="79">
        <v>46204.0</v>
      </c>
      <c r="B6" s="4" t="s">
        <v>690</v>
      </c>
      <c r="D6" s="12">
        <v>1050.0</v>
      </c>
    </row>
    <row r="7">
      <c r="D7" s="2"/>
    </row>
    <row r="8">
      <c r="D8" s="2"/>
    </row>
    <row r="9">
      <c r="D9" s="2"/>
    </row>
    <row r="10">
      <c r="D10" s="2"/>
    </row>
    <row r="11">
      <c r="D11" s="2"/>
    </row>
    <row r="12">
      <c r="D12" s="2"/>
    </row>
    <row r="13">
      <c r="D13" s="2"/>
    </row>
    <row r="14">
      <c r="D14" s="2"/>
    </row>
    <row r="15">
      <c r="D15" s="2"/>
    </row>
    <row r="16">
      <c r="D16" s="2"/>
    </row>
    <row r="17">
      <c r="D17" s="2"/>
    </row>
    <row r="18">
      <c r="D18" s="2"/>
    </row>
    <row r="19">
      <c r="D19" s="2"/>
    </row>
    <row r="20">
      <c r="D20" s="2"/>
    </row>
    <row r="21">
      <c r="D21" s="2"/>
    </row>
    <row r="22">
      <c r="D22" s="2"/>
    </row>
    <row r="23">
      <c r="D23" s="2"/>
    </row>
    <row r="24">
      <c r="D24" s="2"/>
    </row>
    <row r="25">
      <c r="D25" s="2"/>
    </row>
    <row r="26">
      <c r="D26" s="2"/>
    </row>
    <row r="27">
      <c r="D27" s="2"/>
    </row>
    <row r="28">
      <c r="D28" s="2"/>
    </row>
    <row r="29">
      <c r="D29" s="2"/>
    </row>
    <row r="30">
      <c r="D30" s="2"/>
    </row>
    <row r="31">
      <c r="D31" s="2"/>
    </row>
    <row r="32">
      <c r="D32" s="2"/>
    </row>
    <row r="33">
      <c r="D33" s="2"/>
    </row>
    <row r="34">
      <c r="D34" s="2"/>
    </row>
    <row r="35">
      <c r="D35" s="2"/>
    </row>
    <row r="36">
      <c r="D36" s="2"/>
    </row>
    <row r="37">
      <c r="D37" s="2"/>
    </row>
    <row r="38">
      <c r="D38" s="2"/>
    </row>
    <row r="39">
      <c r="D39" s="2"/>
    </row>
    <row r="40">
      <c r="D40" s="2"/>
    </row>
    <row r="41">
      <c r="D41" s="2"/>
    </row>
    <row r="42">
      <c r="D42" s="2"/>
    </row>
    <row r="43">
      <c r="D43" s="2"/>
    </row>
    <row r="44">
      <c r="D44" s="2"/>
    </row>
    <row r="45">
      <c r="D45" s="2"/>
    </row>
    <row r="46">
      <c r="D46" s="2"/>
    </row>
    <row r="47">
      <c r="D47" s="2"/>
    </row>
    <row r="48">
      <c r="D48" s="2"/>
    </row>
    <row r="49">
      <c r="D49" s="2"/>
    </row>
    <row r="50">
      <c r="D50" s="2"/>
    </row>
    <row r="51">
      <c r="D51" s="2"/>
    </row>
    <row r="52">
      <c r="D52" s="2"/>
    </row>
    <row r="53">
      <c r="D53" s="2"/>
    </row>
    <row r="54">
      <c r="D54" s="2"/>
    </row>
    <row r="55">
      <c r="D55" s="2"/>
    </row>
    <row r="56">
      <c r="D56" s="2"/>
    </row>
    <row r="57">
      <c r="D57" s="2"/>
    </row>
    <row r="58">
      <c r="D58" s="2"/>
    </row>
    <row r="59">
      <c r="D59" s="2"/>
    </row>
    <row r="60">
      <c r="D60" s="2"/>
    </row>
    <row r="61">
      <c r="D61" s="2"/>
    </row>
    <row r="62">
      <c r="D62" s="2"/>
    </row>
    <row r="63">
      <c r="D63" s="2"/>
    </row>
    <row r="64">
      <c r="D64" s="2"/>
    </row>
    <row r="65">
      <c r="D65" s="2"/>
    </row>
    <row r="66">
      <c r="D66" s="2"/>
    </row>
    <row r="67">
      <c r="D67" s="2"/>
    </row>
    <row r="68">
      <c r="D68" s="2"/>
    </row>
    <row r="69">
      <c r="D69" s="2"/>
    </row>
    <row r="70">
      <c r="D70" s="2"/>
    </row>
    <row r="71">
      <c r="D71" s="2"/>
    </row>
    <row r="72">
      <c r="D72" s="2"/>
    </row>
    <row r="73">
      <c r="D73" s="2"/>
    </row>
    <row r="74">
      <c r="D74" s="2"/>
    </row>
    <row r="75">
      <c r="D75" s="2"/>
    </row>
    <row r="76">
      <c r="D76" s="2"/>
    </row>
    <row r="77">
      <c r="D77" s="2"/>
    </row>
    <row r="78">
      <c r="D78" s="2"/>
    </row>
    <row r="79">
      <c r="D79" s="2"/>
    </row>
    <row r="80">
      <c r="D80" s="2"/>
    </row>
    <row r="81">
      <c r="D81" s="2"/>
    </row>
    <row r="82">
      <c r="D82" s="2"/>
    </row>
    <row r="83">
      <c r="D83" s="2"/>
    </row>
    <row r="84">
      <c r="D84" s="2"/>
    </row>
    <row r="85">
      <c r="D85" s="2"/>
    </row>
    <row r="86">
      <c r="D86" s="2"/>
    </row>
    <row r="87">
      <c r="D87" s="2"/>
    </row>
    <row r="88">
      <c r="D88" s="2"/>
    </row>
    <row r="89">
      <c r="D89" s="2"/>
    </row>
    <row r="90">
      <c r="D90" s="2"/>
    </row>
    <row r="91">
      <c r="D91" s="2"/>
    </row>
    <row r="92">
      <c r="D92" s="2"/>
    </row>
    <row r="93">
      <c r="D93" s="2"/>
    </row>
    <row r="94">
      <c r="D94" s="2"/>
    </row>
    <row r="95">
      <c r="D95" s="2"/>
    </row>
    <row r="96">
      <c r="D96" s="2"/>
    </row>
    <row r="97">
      <c r="D97" s="2"/>
    </row>
    <row r="98">
      <c r="D98" s="2"/>
    </row>
    <row r="99">
      <c r="D99" s="2"/>
    </row>
    <row r="100">
      <c r="D100" s="2"/>
    </row>
    <row r="101">
      <c r="D101" s="2"/>
    </row>
    <row r="102">
      <c r="D102" s="2"/>
    </row>
    <row r="103">
      <c r="D103" s="2"/>
    </row>
    <row r="104">
      <c r="D104" s="2"/>
    </row>
    <row r="105">
      <c r="D105" s="2"/>
    </row>
    <row r="106">
      <c r="D106" s="2"/>
    </row>
    <row r="107">
      <c r="D107" s="2"/>
    </row>
    <row r="108">
      <c r="D108" s="2"/>
    </row>
    <row r="109">
      <c r="D109" s="2"/>
    </row>
    <row r="110">
      <c r="D110" s="2"/>
    </row>
    <row r="111">
      <c r="D111" s="2"/>
    </row>
    <row r="112">
      <c r="D112" s="2"/>
    </row>
    <row r="113">
      <c r="D113" s="2"/>
    </row>
    <row r="114">
      <c r="D114" s="2"/>
    </row>
    <row r="115">
      <c r="D115" s="2"/>
    </row>
    <row r="116">
      <c r="D116" s="2"/>
    </row>
    <row r="117">
      <c r="D117" s="2"/>
    </row>
    <row r="118">
      <c r="D118" s="2"/>
    </row>
    <row r="119">
      <c r="D119" s="2"/>
    </row>
    <row r="120">
      <c r="D120" s="2"/>
    </row>
    <row r="121">
      <c r="D121" s="2"/>
    </row>
    <row r="122">
      <c r="D122" s="2"/>
    </row>
    <row r="123">
      <c r="D123" s="2"/>
    </row>
    <row r="124">
      <c r="D124" s="2"/>
    </row>
    <row r="125">
      <c r="D125" s="2"/>
    </row>
    <row r="126">
      <c r="D126" s="2"/>
    </row>
    <row r="127">
      <c r="D127" s="2"/>
    </row>
    <row r="128">
      <c r="D128" s="2"/>
    </row>
    <row r="129">
      <c r="D129" s="2"/>
    </row>
    <row r="130">
      <c r="D130" s="2"/>
    </row>
    <row r="131">
      <c r="D131" s="2"/>
    </row>
    <row r="132">
      <c r="D132" s="2"/>
    </row>
    <row r="133">
      <c r="D133" s="2"/>
    </row>
    <row r="134">
      <c r="D134" s="2"/>
    </row>
    <row r="135">
      <c r="D135" s="2"/>
    </row>
    <row r="136">
      <c r="D136" s="2"/>
    </row>
    <row r="137">
      <c r="D137" s="2"/>
    </row>
    <row r="138">
      <c r="D138" s="2"/>
    </row>
    <row r="139">
      <c r="D139" s="2"/>
    </row>
    <row r="140">
      <c r="D140" s="2"/>
    </row>
    <row r="141">
      <c r="D141" s="2"/>
    </row>
    <row r="142">
      <c r="D142" s="2"/>
    </row>
    <row r="143">
      <c r="D143" s="2"/>
    </row>
    <row r="144">
      <c r="D144" s="2"/>
    </row>
    <row r="145">
      <c r="D145" s="2"/>
    </row>
    <row r="146">
      <c r="D146" s="2"/>
    </row>
    <row r="147">
      <c r="D147" s="2"/>
    </row>
    <row r="148">
      <c r="D148" s="2"/>
    </row>
    <row r="149">
      <c r="D149" s="2"/>
    </row>
    <row r="150">
      <c r="D150" s="2"/>
    </row>
    <row r="151">
      <c r="D151" s="2"/>
    </row>
    <row r="152">
      <c r="D152" s="2"/>
    </row>
    <row r="153">
      <c r="D153" s="2"/>
    </row>
    <row r="154">
      <c r="D154" s="2"/>
    </row>
    <row r="155">
      <c r="D155" s="2"/>
    </row>
    <row r="156">
      <c r="D156" s="2"/>
    </row>
    <row r="157">
      <c r="D157" s="2"/>
    </row>
    <row r="158">
      <c r="D158" s="2"/>
    </row>
    <row r="159">
      <c r="D159" s="2"/>
    </row>
    <row r="160">
      <c r="D160" s="2"/>
    </row>
    <row r="161">
      <c r="D161" s="2"/>
    </row>
    <row r="162">
      <c r="D162" s="2"/>
    </row>
    <row r="163">
      <c r="D163" s="2"/>
    </row>
    <row r="164">
      <c r="D164" s="2"/>
    </row>
    <row r="165">
      <c r="D165" s="2"/>
    </row>
    <row r="166">
      <c r="D166" s="2"/>
    </row>
    <row r="167">
      <c r="D167" s="2"/>
    </row>
    <row r="168">
      <c r="D168" s="2"/>
    </row>
    <row r="169">
      <c r="D169" s="2"/>
    </row>
    <row r="170">
      <c r="D170" s="2"/>
    </row>
    <row r="171">
      <c r="D171" s="2"/>
    </row>
    <row r="172">
      <c r="D172" s="2"/>
    </row>
    <row r="173">
      <c r="D173" s="2"/>
    </row>
    <row r="174">
      <c r="D174" s="2"/>
    </row>
    <row r="175">
      <c r="D175" s="2"/>
    </row>
    <row r="176">
      <c r="D176" s="2"/>
    </row>
    <row r="177">
      <c r="D177" s="2"/>
    </row>
    <row r="178">
      <c r="D178" s="2"/>
    </row>
    <row r="179">
      <c r="D179" s="2"/>
    </row>
    <row r="180">
      <c r="D180" s="2"/>
    </row>
    <row r="181">
      <c r="D181" s="2"/>
    </row>
    <row r="182">
      <c r="D182" s="2"/>
    </row>
    <row r="183">
      <c r="D183" s="2"/>
    </row>
    <row r="184">
      <c r="D184" s="2"/>
    </row>
    <row r="185">
      <c r="D185" s="2"/>
    </row>
    <row r="186">
      <c r="D186" s="2"/>
    </row>
    <row r="187">
      <c r="D187" s="2"/>
    </row>
    <row r="188">
      <c r="D188" s="2"/>
    </row>
    <row r="189">
      <c r="D189" s="2"/>
    </row>
    <row r="190">
      <c r="D190" s="2"/>
    </row>
    <row r="191">
      <c r="D191" s="2"/>
    </row>
    <row r="192">
      <c r="D192" s="2"/>
    </row>
    <row r="193">
      <c r="D193" s="2"/>
    </row>
    <row r="194">
      <c r="D194" s="2"/>
    </row>
    <row r="195">
      <c r="D195" s="2"/>
    </row>
    <row r="196">
      <c r="D196" s="2"/>
    </row>
    <row r="197">
      <c r="D197" s="2"/>
    </row>
    <row r="198">
      <c r="D198" s="2"/>
    </row>
    <row r="199">
      <c r="D199" s="2"/>
    </row>
    <row r="200">
      <c r="D200" s="2"/>
    </row>
    <row r="201">
      <c r="D201" s="2"/>
    </row>
    <row r="202">
      <c r="D202" s="2"/>
    </row>
    <row r="203">
      <c r="D203" s="2"/>
    </row>
    <row r="204">
      <c r="D204" s="2"/>
    </row>
    <row r="205">
      <c r="D205" s="2"/>
    </row>
    <row r="206">
      <c r="D206" s="2"/>
    </row>
    <row r="207">
      <c r="D207" s="2"/>
    </row>
    <row r="208">
      <c r="D208" s="2"/>
    </row>
    <row r="209">
      <c r="D209" s="2"/>
    </row>
    <row r="210">
      <c r="D210" s="2"/>
    </row>
    <row r="211">
      <c r="D211" s="2"/>
    </row>
    <row r="212">
      <c r="D212" s="2"/>
    </row>
    <row r="213">
      <c r="D213" s="2"/>
    </row>
    <row r="214">
      <c r="D214" s="2"/>
    </row>
    <row r="215">
      <c r="D215" s="2"/>
    </row>
    <row r="216">
      <c r="D216" s="2"/>
    </row>
    <row r="217">
      <c r="D217" s="2"/>
    </row>
    <row r="218">
      <c r="D218" s="2"/>
    </row>
    <row r="219">
      <c r="D219" s="2"/>
    </row>
    <row r="220">
      <c r="D220" s="2"/>
    </row>
    <row r="221">
      <c r="D221" s="2"/>
    </row>
    <row r="222">
      <c r="D222" s="2"/>
    </row>
    <row r="223">
      <c r="D223" s="2"/>
    </row>
    <row r="224">
      <c r="D224" s="2"/>
    </row>
    <row r="225">
      <c r="D225" s="2"/>
    </row>
    <row r="226">
      <c r="D226" s="2"/>
    </row>
    <row r="227">
      <c r="D227" s="2"/>
    </row>
    <row r="228">
      <c r="D228" s="2"/>
    </row>
    <row r="229">
      <c r="D229" s="2"/>
    </row>
    <row r="230">
      <c r="D230" s="2"/>
    </row>
    <row r="231">
      <c r="D231" s="2"/>
    </row>
    <row r="232">
      <c r="D232" s="2"/>
    </row>
    <row r="233">
      <c r="D233" s="2"/>
    </row>
    <row r="234">
      <c r="D234" s="2"/>
    </row>
    <row r="235">
      <c r="D235" s="2"/>
    </row>
    <row r="236">
      <c r="D236" s="2"/>
    </row>
    <row r="237">
      <c r="D237" s="2"/>
    </row>
    <row r="238">
      <c r="D238" s="2"/>
    </row>
    <row r="239">
      <c r="D239" s="2"/>
    </row>
    <row r="240">
      <c r="D240" s="2"/>
    </row>
    <row r="241">
      <c r="D241" s="2"/>
    </row>
    <row r="242">
      <c r="D242" s="2"/>
    </row>
    <row r="243">
      <c r="D243" s="2"/>
    </row>
    <row r="244">
      <c r="D244" s="2"/>
    </row>
    <row r="245">
      <c r="D245" s="2"/>
    </row>
    <row r="246">
      <c r="D246" s="2"/>
    </row>
    <row r="247">
      <c r="D247" s="2"/>
    </row>
    <row r="248">
      <c r="D248" s="2"/>
    </row>
    <row r="249">
      <c r="D249" s="2"/>
    </row>
    <row r="250">
      <c r="D250" s="2"/>
    </row>
    <row r="251">
      <c r="D251" s="2"/>
    </row>
    <row r="252">
      <c r="D252" s="2"/>
    </row>
    <row r="253">
      <c r="D253" s="2"/>
    </row>
    <row r="254">
      <c r="D254" s="2"/>
    </row>
    <row r="255">
      <c r="D255" s="2"/>
    </row>
    <row r="256">
      <c r="D256" s="2"/>
    </row>
    <row r="257">
      <c r="D257" s="2"/>
    </row>
    <row r="258">
      <c r="D258" s="2"/>
    </row>
    <row r="259">
      <c r="D259" s="2"/>
    </row>
    <row r="260">
      <c r="D260" s="2"/>
    </row>
    <row r="261">
      <c r="D261" s="2"/>
    </row>
    <row r="262">
      <c r="D262" s="2"/>
    </row>
    <row r="263">
      <c r="D263" s="2"/>
    </row>
    <row r="264">
      <c r="D264" s="2"/>
    </row>
    <row r="265">
      <c r="D265" s="2"/>
    </row>
    <row r="266">
      <c r="D266" s="2"/>
    </row>
    <row r="267">
      <c r="D267" s="2"/>
    </row>
    <row r="268">
      <c r="D268" s="2"/>
    </row>
    <row r="269">
      <c r="D269" s="2"/>
    </row>
    <row r="270">
      <c r="D270" s="2"/>
    </row>
    <row r="271">
      <c r="D271" s="2"/>
    </row>
    <row r="272">
      <c r="D272" s="2"/>
    </row>
    <row r="273">
      <c r="D273" s="2"/>
    </row>
    <row r="274">
      <c r="D274" s="2"/>
    </row>
    <row r="275">
      <c r="D275" s="2"/>
    </row>
    <row r="276">
      <c r="D276" s="2"/>
    </row>
    <row r="277">
      <c r="D277" s="2"/>
    </row>
    <row r="278">
      <c r="D278" s="2"/>
    </row>
    <row r="279">
      <c r="D279" s="2"/>
    </row>
    <row r="280">
      <c r="D280" s="2"/>
    </row>
    <row r="281">
      <c r="D281" s="2"/>
    </row>
    <row r="282">
      <c r="D282" s="2"/>
    </row>
    <row r="283">
      <c r="D283" s="2"/>
    </row>
    <row r="284">
      <c r="D284" s="2"/>
    </row>
    <row r="285">
      <c r="D285" s="2"/>
    </row>
    <row r="286">
      <c r="D286" s="2"/>
    </row>
    <row r="287">
      <c r="D287" s="2"/>
    </row>
    <row r="288">
      <c r="D288" s="2"/>
    </row>
    <row r="289">
      <c r="D289" s="2"/>
    </row>
    <row r="290">
      <c r="D290" s="2"/>
    </row>
    <row r="291">
      <c r="D291" s="2"/>
    </row>
    <row r="292">
      <c r="D292" s="2"/>
    </row>
    <row r="293">
      <c r="D293" s="2"/>
    </row>
    <row r="294">
      <c r="D294" s="2"/>
    </row>
    <row r="295">
      <c r="D295" s="2"/>
    </row>
    <row r="296">
      <c r="D296" s="2"/>
    </row>
    <row r="297">
      <c r="D297" s="2"/>
    </row>
    <row r="298">
      <c r="D298" s="2"/>
    </row>
    <row r="299">
      <c r="D299" s="2"/>
    </row>
    <row r="300">
      <c r="D300" s="2"/>
    </row>
    <row r="301">
      <c r="D301" s="2"/>
    </row>
    <row r="302">
      <c r="D302" s="2"/>
    </row>
    <row r="303">
      <c r="D303" s="2"/>
    </row>
    <row r="304">
      <c r="D304" s="2"/>
    </row>
    <row r="305">
      <c r="D305" s="2"/>
    </row>
    <row r="306">
      <c r="D306" s="2"/>
    </row>
    <row r="307">
      <c r="D307" s="2"/>
    </row>
    <row r="308">
      <c r="D308" s="2"/>
    </row>
    <row r="309">
      <c r="D309" s="2"/>
    </row>
    <row r="310">
      <c r="D310" s="2"/>
    </row>
    <row r="311">
      <c r="D311" s="2"/>
    </row>
    <row r="312">
      <c r="D312" s="2"/>
    </row>
    <row r="313">
      <c r="D313" s="2"/>
    </row>
    <row r="314">
      <c r="D314" s="2"/>
    </row>
    <row r="315">
      <c r="D315" s="2"/>
    </row>
    <row r="316">
      <c r="D316" s="2"/>
    </row>
    <row r="317">
      <c r="D317" s="2"/>
    </row>
    <row r="318">
      <c r="D318" s="2"/>
    </row>
    <row r="319">
      <c r="D319" s="2"/>
    </row>
    <row r="320">
      <c r="D320" s="2"/>
    </row>
    <row r="321">
      <c r="D321" s="2"/>
    </row>
    <row r="322">
      <c r="D322" s="2"/>
    </row>
    <row r="323">
      <c r="D323" s="2"/>
    </row>
    <row r="324">
      <c r="D324" s="2"/>
    </row>
    <row r="325">
      <c r="D325" s="2"/>
    </row>
    <row r="326">
      <c r="D326" s="2"/>
    </row>
    <row r="327">
      <c r="D327" s="2"/>
    </row>
    <row r="328">
      <c r="D328" s="2"/>
    </row>
    <row r="329">
      <c r="D329" s="2"/>
    </row>
    <row r="330">
      <c r="D330" s="2"/>
    </row>
    <row r="331">
      <c r="D331" s="2"/>
    </row>
    <row r="332">
      <c r="D332" s="2"/>
    </row>
    <row r="333">
      <c r="D333" s="2"/>
    </row>
    <row r="334">
      <c r="D334" s="2"/>
    </row>
    <row r="335">
      <c r="D335" s="2"/>
    </row>
    <row r="336">
      <c r="D336" s="2"/>
    </row>
    <row r="337">
      <c r="D337" s="2"/>
    </row>
    <row r="338">
      <c r="D338" s="2"/>
    </row>
    <row r="339">
      <c r="D339" s="2"/>
    </row>
    <row r="340">
      <c r="D340" s="2"/>
    </row>
    <row r="341">
      <c r="D341" s="2"/>
    </row>
    <row r="342">
      <c r="D342" s="2"/>
    </row>
    <row r="343">
      <c r="D343" s="2"/>
    </row>
    <row r="344">
      <c r="D344" s="2"/>
    </row>
    <row r="345">
      <c r="D345" s="2"/>
    </row>
    <row r="346">
      <c r="D346" s="2"/>
    </row>
    <row r="347">
      <c r="D347" s="2"/>
    </row>
    <row r="348">
      <c r="D348" s="2"/>
    </row>
    <row r="349">
      <c r="D349" s="2"/>
    </row>
    <row r="350">
      <c r="D350" s="2"/>
    </row>
    <row r="351">
      <c r="D351" s="2"/>
    </row>
    <row r="352">
      <c r="D352" s="2"/>
    </row>
    <row r="353">
      <c r="D353" s="2"/>
    </row>
    <row r="354">
      <c r="D354" s="2"/>
    </row>
    <row r="355">
      <c r="D355" s="2"/>
    </row>
    <row r="356">
      <c r="D356" s="2"/>
    </row>
    <row r="357">
      <c r="D357" s="2"/>
    </row>
    <row r="358">
      <c r="D358" s="2"/>
    </row>
    <row r="359">
      <c r="D359" s="2"/>
    </row>
    <row r="360">
      <c r="D360" s="2"/>
    </row>
    <row r="361">
      <c r="D361" s="2"/>
    </row>
    <row r="362">
      <c r="D362" s="2"/>
    </row>
    <row r="363">
      <c r="D363" s="2"/>
    </row>
    <row r="364">
      <c r="D364" s="2"/>
    </row>
    <row r="365">
      <c r="D365" s="2"/>
    </row>
    <row r="366">
      <c r="D366" s="2"/>
    </row>
    <row r="367">
      <c r="D367" s="2"/>
    </row>
    <row r="368">
      <c r="D368" s="2"/>
    </row>
    <row r="369">
      <c r="D369" s="2"/>
    </row>
    <row r="370">
      <c r="D370" s="2"/>
    </row>
    <row r="371">
      <c r="D371" s="2"/>
    </row>
    <row r="372">
      <c r="D372" s="2"/>
    </row>
    <row r="373">
      <c r="D373" s="2"/>
    </row>
    <row r="374">
      <c r="D374" s="2"/>
    </row>
    <row r="375">
      <c r="D375" s="2"/>
    </row>
    <row r="376">
      <c r="D376" s="2"/>
    </row>
    <row r="377">
      <c r="D377" s="2"/>
    </row>
    <row r="378">
      <c r="D378" s="2"/>
    </row>
    <row r="379">
      <c r="D379" s="2"/>
    </row>
    <row r="380">
      <c r="D380" s="2"/>
    </row>
    <row r="381">
      <c r="D381" s="2"/>
    </row>
    <row r="382">
      <c r="D382" s="2"/>
    </row>
    <row r="383">
      <c r="D383" s="2"/>
    </row>
    <row r="384">
      <c r="D384" s="2"/>
    </row>
    <row r="385">
      <c r="D385" s="2"/>
    </row>
    <row r="386">
      <c r="D386" s="2"/>
    </row>
    <row r="387">
      <c r="D387" s="2"/>
    </row>
    <row r="388">
      <c r="D388" s="2"/>
    </row>
    <row r="389">
      <c r="D389" s="2"/>
    </row>
    <row r="390">
      <c r="D390" s="2"/>
    </row>
    <row r="391">
      <c r="D391" s="2"/>
    </row>
    <row r="392">
      <c r="D392" s="2"/>
    </row>
    <row r="393">
      <c r="D393" s="2"/>
    </row>
    <row r="394">
      <c r="D394" s="2"/>
    </row>
    <row r="395">
      <c r="D395" s="2"/>
    </row>
    <row r="396">
      <c r="D396" s="2"/>
    </row>
    <row r="397">
      <c r="D397" s="2"/>
    </row>
    <row r="398">
      <c r="D398" s="2"/>
    </row>
    <row r="399">
      <c r="D399" s="2"/>
    </row>
    <row r="400">
      <c r="D400" s="2"/>
    </row>
    <row r="401">
      <c r="D401" s="2"/>
    </row>
    <row r="402">
      <c r="D402" s="2"/>
    </row>
    <row r="403">
      <c r="D403" s="2"/>
    </row>
    <row r="404">
      <c r="D404" s="2"/>
    </row>
    <row r="405">
      <c r="D405" s="2"/>
    </row>
    <row r="406">
      <c r="D406" s="2"/>
    </row>
    <row r="407">
      <c r="D407" s="2"/>
    </row>
    <row r="408">
      <c r="D408" s="2"/>
    </row>
    <row r="409">
      <c r="D409" s="2"/>
    </row>
    <row r="410">
      <c r="D410" s="2"/>
    </row>
    <row r="411">
      <c r="D411" s="2"/>
    </row>
    <row r="412">
      <c r="D412" s="2"/>
    </row>
    <row r="413">
      <c r="D413" s="2"/>
    </row>
    <row r="414">
      <c r="D414" s="2"/>
    </row>
    <row r="415">
      <c r="D415" s="2"/>
    </row>
    <row r="416">
      <c r="D416" s="2"/>
    </row>
    <row r="417">
      <c r="D417" s="2"/>
    </row>
    <row r="418">
      <c r="D418" s="2"/>
    </row>
    <row r="419">
      <c r="D419" s="2"/>
    </row>
    <row r="420">
      <c r="D420" s="2"/>
    </row>
    <row r="421">
      <c r="D421" s="2"/>
    </row>
    <row r="422">
      <c r="D422" s="2"/>
    </row>
    <row r="423">
      <c r="D423" s="2"/>
    </row>
    <row r="424">
      <c r="D424" s="2"/>
    </row>
    <row r="425">
      <c r="D425" s="2"/>
    </row>
    <row r="426">
      <c r="D426" s="2"/>
    </row>
    <row r="427">
      <c r="D427" s="2"/>
    </row>
    <row r="428">
      <c r="D428" s="2"/>
    </row>
    <row r="429">
      <c r="D429" s="2"/>
    </row>
    <row r="430">
      <c r="D430" s="2"/>
    </row>
    <row r="431">
      <c r="D431" s="2"/>
    </row>
    <row r="432">
      <c r="D432" s="2"/>
    </row>
    <row r="433">
      <c r="D433" s="2"/>
    </row>
    <row r="434">
      <c r="D434" s="2"/>
    </row>
    <row r="435">
      <c r="D435" s="2"/>
    </row>
    <row r="436">
      <c r="D436" s="2"/>
    </row>
    <row r="437">
      <c r="D437" s="2"/>
    </row>
    <row r="438">
      <c r="D438" s="2"/>
    </row>
    <row r="439">
      <c r="D439" s="2"/>
    </row>
    <row r="440">
      <c r="D440" s="2"/>
    </row>
    <row r="441">
      <c r="D441" s="2"/>
    </row>
    <row r="442">
      <c r="D442" s="2"/>
    </row>
    <row r="443">
      <c r="D443" s="2"/>
    </row>
    <row r="444">
      <c r="D444" s="2"/>
    </row>
    <row r="445">
      <c r="D445" s="2"/>
    </row>
    <row r="446">
      <c r="D446" s="2"/>
    </row>
    <row r="447">
      <c r="D447" s="2"/>
    </row>
    <row r="448">
      <c r="D448" s="2"/>
    </row>
    <row r="449">
      <c r="D449" s="2"/>
    </row>
    <row r="450">
      <c r="D450" s="2"/>
    </row>
    <row r="451">
      <c r="D451" s="2"/>
    </row>
    <row r="452">
      <c r="D452" s="2"/>
    </row>
    <row r="453">
      <c r="D453" s="2"/>
    </row>
    <row r="454">
      <c r="D454" s="2"/>
    </row>
    <row r="455">
      <c r="D455" s="2"/>
    </row>
    <row r="456">
      <c r="D456" s="2"/>
    </row>
    <row r="457">
      <c r="D457" s="2"/>
    </row>
    <row r="458">
      <c r="D458" s="2"/>
    </row>
    <row r="459">
      <c r="D459" s="2"/>
    </row>
    <row r="460">
      <c r="D460" s="2"/>
    </row>
    <row r="461">
      <c r="D461" s="2"/>
    </row>
    <row r="462">
      <c r="D462" s="2"/>
    </row>
    <row r="463">
      <c r="D463" s="2"/>
    </row>
    <row r="464">
      <c r="D464" s="2"/>
    </row>
    <row r="465">
      <c r="D465" s="2"/>
    </row>
    <row r="466">
      <c r="D466" s="2"/>
    </row>
    <row r="467">
      <c r="D467" s="2"/>
    </row>
    <row r="468">
      <c r="D468" s="2"/>
    </row>
    <row r="469">
      <c r="D469" s="2"/>
    </row>
    <row r="470">
      <c r="D470" s="2"/>
    </row>
    <row r="471">
      <c r="D471" s="2"/>
    </row>
    <row r="472">
      <c r="D472" s="2"/>
    </row>
    <row r="473">
      <c r="D473" s="2"/>
    </row>
    <row r="474">
      <c r="D474" s="2"/>
    </row>
    <row r="475">
      <c r="D475" s="2"/>
    </row>
    <row r="476">
      <c r="D476" s="2"/>
    </row>
    <row r="477">
      <c r="D477" s="2"/>
    </row>
    <row r="478">
      <c r="D478" s="2"/>
    </row>
    <row r="479">
      <c r="D479" s="2"/>
    </row>
    <row r="480">
      <c r="D480" s="2"/>
    </row>
    <row r="481">
      <c r="D481" s="2"/>
    </row>
    <row r="482">
      <c r="D482" s="2"/>
    </row>
    <row r="483">
      <c r="D483" s="2"/>
    </row>
    <row r="484">
      <c r="D484" s="2"/>
    </row>
    <row r="485">
      <c r="D485" s="2"/>
    </row>
    <row r="486">
      <c r="D486" s="2"/>
    </row>
    <row r="487">
      <c r="D487" s="2"/>
    </row>
    <row r="488">
      <c r="D488" s="2"/>
    </row>
    <row r="489">
      <c r="D489" s="2"/>
    </row>
    <row r="490">
      <c r="D490" s="2"/>
    </row>
    <row r="491">
      <c r="D491" s="2"/>
    </row>
    <row r="492">
      <c r="D492" s="2"/>
    </row>
    <row r="493">
      <c r="D493" s="2"/>
    </row>
    <row r="494">
      <c r="D494" s="2"/>
    </row>
    <row r="495">
      <c r="D495" s="2"/>
    </row>
    <row r="496">
      <c r="D496" s="2"/>
    </row>
    <row r="497">
      <c r="D497" s="2"/>
    </row>
    <row r="498">
      <c r="D498" s="2"/>
    </row>
    <row r="499">
      <c r="D499" s="2"/>
    </row>
    <row r="500">
      <c r="D500" s="2"/>
    </row>
    <row r="501">
      <c r="D501" s="2"/>
    </row>
    <row r="502">
      <c r="D502" s="2"/>
    </row>
    <row r="503">
      <c r="D503" s="2"/>
    </row>
    <row r="504">
      <c r="D504" s="2"/>
    </row>
    <row r="505">
      <c r="D505" s="2"/>
    </row>
    <row r="506">
      <c r="D506" s="2"/>
    </row>
    <row r="507">
      <c r="D507" s="2"/>
    </row>
    <row r="508">
      <c r="D508" s="2"/>
    </row>
    <row r="509">
      <c r="D509" s="2"/>
    </row>
    <row r="510">
      <c r="D510" s="2"/>
    </row>
    <row r="511">
      <c r="D511" s="2"/>
    </row>
    <row r="512">
      <c r="D512" s="2"/>
    </row>
    <row r="513">
      <c r="D513" s="2"/>
    </row>
    <row r="514">
      <c r="D514" s="2"/>
    </row>
    <row r="515">
      <c r="D515" s="2"/>
    </row>
    <row r="516">
      <c r="D516" s="2"/>
    </row>
    <row r="517">
      <c r="D517" s="2"/>
    </row>
    <row r="518">
      <c r="D518" s="2"/>
    </row>
    <row r="519">
      <c r="D519" s="2"/>
    </row>
    <row r="520">
      <c r="D520" s="2"/>
    </row>
    <row r="521">
      <c r="D521" s="2"/>
    </row>
    <row r="522">
      <c r="D522" s="2"/>
    </row>
    <row r="523">
      <c r="D523" s="2"/>
    </row>
    <row r="524">
      <c r="D524" s="2"/>
    </row>
    <row r="525">
      <c r="D525" s="2"/>
    </row>
    <row r="526">
      <c r="D526" s="2"/>
    </row>
    <row r="527">
      <c r="D527" s="2"/>
    </row>
    <row r="528">
      <c r="D528" s="2"/>
    </row>
    <row r="529">
      <c r="D529" s="2"/>
    </row>
    <row r="530">
      <c r="D530" s="2"/>
    </row>
    <row r="531">
      <c r="D531" s="2"/>
    </row>
    <row r="532">
      <c r="D532" s="2"/>
    </row>
    <row r="533">
      <c r="D533" s="2"/>
    </row>
    <row r="534">
      <c r="D534" s="2"/>
    </row>
    <row r="535">
      <c r="D535" s="2"/>
    </row>
    <row r="536">
      <c r="D536" s="2"/>
    </row>
    <row r="537">
      <c r="D537" s="2"/>
    </row>
    <row r="538">
      <c r="D538" s="2"/>
    </row>
    <row r="539">
      <c r="D539" s="2"/>
    </row>
    <row r="540">
      <c r="D540" s="2"/>
    </row>
    <row r="541">
      <c r="D541" s="2"/>
    </row>
    <row r="542">
      <c r="D542" s="2"/>
    </row>
    <row r="543">
      <c r="D543" s="2"/>
    </row>
    <row r="544">
      <c r="D544" s="2"/>
    </row>
    <row r="545">
      <c r="D545" s="2"/>
    </row>
    <row r="546">
      <c r="D546" s="2"/>
    </row>
    <row r="547">
      <c r="D547" s="2"/>
    </row>
    <row r="548">
      <c r="D548" s="2"/>
    </row>
    <row r="549">
      <c r="D549" s="2"/>
    </row>
    <row r="550">
      <c r="D550" s="2"/>
    </row>
    <row r="551">
      <c r="D551" s="2"/>
    </row>
    <row r="552">
      <c r="D552" s="2"/>
    </row>
    <row r="553">
      <c r="D553" s="2"/>
    </row>
    <row r="554">
      <c r="D554" s="2"/>
    </row>
    <row r="555">
      <c r="D555" s="2"/>
    </row>
    <row r="556">
      <c r="D556" s="2"/>
    </row>
    <row r="557">
      <c r="D557" s="2"/>
    </row>
    <row r="558">
      <c r="D558" s="2"/>
    </row>
    <row r="559">
      <c r="D559" s="2"/>
    </row>
    <row r="560">
      <c r="D560" s="2"/>
    </row>
    <row r="561">
      <c r="D561" s="2"/>
    </row>
    <row r="562">
      <c r="D562" s="2"/>
    </row>
    <row r="563">
      <c r="D563" s="2"/>
    </row>
    <row r="564">
      <c r="D564" s="2"/>
    </row>
    <row r="565">
      <c r="D565" s="2"/>
    </row>
    <row r="566">
      <c r="D566" s="2"/>
    </row>
    <row r="567">
      <c r="D567" s="2"/>
    </row>
    <row r="568">
      <c r="D568" s="2"/>
    </row>
    <row r="569">
      <c r="D569" s="2"/>
    </row>
    <row r="570">
      <c r="D570" s="2"/>
    </row>
    <row r="571">
      <c r="D571" s="2"/>
    </row>
    <row r="572">
      <c r="D572" s="2"/>
    </row>
    <row r="573">
      <c r="D573" s="2"/>
    </row>
    <row r="574">
      <c r="D574" s="2"/>
    </row>
    <row r="575">
      <c r="D575" s="2"/>
    </row>
    <row r="576">
      <c r="D576" s="2"/>
    </row>
    <row r="577">
      <c r="D577" s="2"/>
    </row>
    <row r="578">
      <c r="D578" s="2"/>
    </row>
    <row r="579">
      <c r="D579" s="2"/>
    </row>
    <row r="580">
      <c r="D580" s="2"/>
    </row>
    <row r="581">
      <c r="D581" s="2"/>
    </row>
    <row r="582">
      <c r="D582" s="2"/>
    </row>
    <row r="583">
      <c r="D583" s="2"/>
    </row>
    <row r="584">
      <c r="D584" s="2"/>
    </row>
    <row r="585">
      <c r="D585" s="2"/>
    </row>
    <row r="586">
      <c r="D586" s="2"/>
    </row>
    <row r="587">
      <c r="D587" s="2"/>
    </row>
    <row r="588">
      <c r="D588" s="2"/>
    </row>
    <row r="589">
      <c r="D589" s="2"/>
    </row>
    <row r="590">
      <c r="D590" s="2"/>
    </row>
    <row r="591">
      <c r="D591" s="2"/>
    </row>
    <row r="592">
      <c r="D592" s="2"/>
    </row>
    <row r="593">
      <c r="D593" s="2"/>
    </row>
    <row r="594">
      <c r="D594" s="2"/>
    </row>
    <row r="595">
      <c r="D595" s="2"/>
    </row>
    <row r="596">
      <c r="D596" s="2"/>
    </row>
    <row r="597">
      <c r="D597" s="2"/>
    </row>
    <row r="598">
      <c r="D598" s="2"/>
    </row>
    <row r="599">
      <c r="D599" s="2"/>
    </row>
    <row r="600">
      <c r="D600" s="2"/>
    </row>
    <row r="601">
      <c r="D601" s="2"/>
    </row>
    <row r="602">
      <c r="D602" s="2"/>
    </row>
    <row r="603">
      <c r="D603" s="2"/>
    </row>
    <row r="604">
      <c r="D604" s="2"/>
    </row>
    <row r="605">
      <c r="D605" s="2"/>
    </row>
    <row r="606">
      <c r="D606" s="2"/>
    </row>
    <row r="607">
      <c r="D607" s="2"/>
    </row>
    <row r="608">
      <c r="D608" s="2"/>
    </row>
    <row r="609">
      <c r="D609" s="2"/>
    </row>
    <row r="610">
      <c r="D610" s="2"/>
    </row>
    <row r="611">
      <c r="D611" s="2"/>
    </row>
    <row r="612">
      <c r="D612" s="2"/>
    </row>
    <row r="613">
      <c r="D613" s="2"/>
    </row>
    <row r="614">
      <c r="D614" s="2"/>
    </row>
    <row r="615">
      <c r="D615" s="2"/>
    </row>
    <row r="616">
      <c r="D616" s="2"/>
    </row>
    <row r="617">
      <c r="D617" s="2"/>
    </row>
    <row r="618">
      <c r="D618" s="2"/>
    </row>
    <row r="619">
      <c r="D619" s="2"/>
    </row>
    <row r="620">
      <c r="D620" s="2"/>
    </row>
    <row r="621">
      <c r="D621" s="2"/>
    </row>
    <row r="622">
      <c r="D622" s="2"/>
    </row>
    <row r="623">
      <c r="D623" s="2"/>
    </row>
    <row r="624">
      <c r="D624" s="2"/>
    </row>
    <row r="625">
      <c r="D625" s="2"/>
    </row>
    <row r="626">
      <c r="D626" s="2"/>
    </row>
    <row r="627">
      <c r="D627" s="2"/>
    </row>
    <row r="628">
      <c r="D628" s="2"/>
    </row>
    <row r="629">
      <c r="D629" s="2"/>
    </row>
    <row r="630">
      <c r="D630" s="2"/>
    </row>
    <row r="631">
      <c r="D631" s="2"/>
    </row>
    <row r="632">
      <c r="D632" s="2"/>
    </row>
    <row r="633">
      <c r="D633" s="2"/>
    </row>
    <row r="634">
      <c r="D634" s="2"/>
    </row>
    <row r="635">
      <c r="D635" s="2"/>
    </row>
    <row r="636">
      <c r="D636" s="2"/>
    </row>
    <row r="637">
      <c r="D637" s="2"/>
    </row>
    <row r="638">
      <c r="D638" s="2"/>
    </row>
    <row r="639">
      <c r="D639" s="2"/>
    </row>
    <row r="640">
      <c r="D640" s="2"/>
    </row>
    <row r="641">
      <c r="D641" s="2"/>
    </row>
    <row r="642">
      <c r="D642" s="2"/>
    </row>
    <row r="643">
      <c r="D643" s="2"/>
    </row>
    <row r="644">
      <c r="D644" s="2"/>
    </row>
    <row r="645">
      <c r="D645" s="2"/>
    </row>
    <row r="646">
      <c r="D646" s="2"/>
    </row>
    <row r="647">
      <c r="D647" s="2"/>
    </row>
    <row r="648">
      <c r="D648" s="2"/>
    </row>
    <row r="649">
      <c r="D649" s="2"/>
    </row>
    <row r="650">
      <c r="D650" s="2"/>
    </row>
    <row r="651">
      <c r="D651" s="2"/>
    </row>
    <row r="652">
      <c r="D652" s="2"/>
    </row>
    <row r="653">
      <c r="D653" s="2"/>
    </row>
    <row r="654">
      <c r="D654" s="2"/>
    </row>
    <row r="655">
      <c r="D655" s="2"/>
    </row>
    <row r="656">
      <c r="D656" s="2"/>
    </row>
    <row r="657">
      <c r="D657" s="2"/>
    </row>
    <row r="658">
      <c r="D658" s="2"/>
    </row>
    <row r="659">
      <c r="D659" s="2"/>
    </row>
    <row r="660">
      <c r="D660" s="2"/>
    </row>
    <row r="661">
      <c r="D661" s="2"/>
    </row>
    <row r="662">
      <c r="D662" s="2"/>
    </row>
    <row r="663">
      <c r="D663" s="2"/>
    </row>
    <row r="664">
      <c r="D664" s="2"/>
    </row>
    <row r="665">
      <c r="D665" s="2"/>
    </row>
    <row r="666">
      <c r="D666" s="2"/>
    </row>
    <row r="667">
      <c r="D667" s="2"/>
    </row>
    <row r="668">
      <c r="D668" s="2"/>
    </row>
    <row r="669">
      <c r="D669" s="2"/>
    </row>
    <row r="670">
      <c r="D670" s="2"/>
    </row>
    <row r="671">
      <c r="D671" s="2"/>
    </row>
    <row r="672">
      <c r="D672" s="2"/>
    </row>
    <row r="673">
      <c r="D673" s="2"/>
    </row>
    <row r="674">
      <c r="D674" s="2"/>
    </row>
    <row r="675">
      <c r="D675" s="2"/>
    </row>
    <row r="676">
      <c r="D676" s="2"/>
    </row>
    <row r="677">
      <c r="D677" s="2"/>
    </row>
    <row r="678">
      <c r="D678" s="2"/>
    </row>
    <row r="679">
      <c r="D679" s="2"/>
    </row>
    <row r="680">
      <c r="D680" s="2"/>
    </row>
    <row r="681">
      <c r="D681" s="2"/>
    </row>
    <row r="682">
      <c r="D682" s="2"/>
    </row>
    <row r="683">
      <c r="D683" s="2"/>
    </row>
    <row r="684">
      <c r="D684" s="2"/>
    </row>
    <row r="685">
      <c r="D685" s="2"/>
    </row>
    <row r="686">
      <c r="D686" s="2"/>
    </row>
    <row r="687">
      <c r="D687" s="2"/>
    </row>
    <row r="688">
      <c r="D688" s="2"/>
    </row>
    <row r="689">
      <c r="D689" s="2"/>
    </row>
    <row r="690">
      <c r="D690" s="2"/>
    </row>
    <row r="691">
      <c r="D691" s="2"/>
    </row>
    <row r="692">
      <c r="D692" s="2"/>
    </row>
    <row r="693">
      <c r="D693" s="2"/>
    </row>
    <row r="694">
      <c r="D694" s="2"/>
    </row>
    <row r="695">
      <c r="D695" s="2"/>
    </row>
    <row r="696">
      <c r="D696" s="2"/>
    </row>
    <row r="697">
      <c r="D697" s="2"/>
    </row>
    <row r="698">
      <c r="D698" s="2"/>
    </row>
    <row r="699">
      <c r="D699" s="2"/>
    </row>
    <row r="700">
      <c r="D700" s="2"/>
    </row>
    <row r="701">
      <c r="D701" s="2"/>
    </row>
    <row r="702">
      <c r="D702" s="2"/>
    </row>
    <row r="703">
      <c r="D703" s="2"/>
    </row>
    <row r="704">
      <c r="D704" s="2"/>
    </row>
    <row r="705">
      <c r="D705" s="2"/>
    </row>
    <row r="706">
      <c r="D706" s="2"/>
    </row>
    <row r="707">
      <c r="D707" s="2"/>
    </row>
    <row r="708">
      <c r="D708" s="2"/>
    </row>
    <row r="709">
      <c r="D709" s="2"/>
    </row>
    <row r="710">
      <c r="D710" s="2"/>
    </row>
    <row r="711">
      <c r="D711" s="2"/>
    </row>
    <row r="712">
      <c r="D712" s="2"/>
    </row>
    <row r="713">
      <c r="D713" s="2"/>
    </row>
    <row r="714">
      <c r="D714" s="2"/>
    </row>
    <row r="715">
      <c r="D715" s="2"/>
    </row>
    <row r="716">
      <c r="D716" s="2"/>
    </row>
    <row r="717">
      <c r="D717" s="2"/>
    </row>
    <row r="718">
      <c r="D718" s="2"/>
    </row>
    <row r="719">
      <c r="D719" s="2"/>
    </row>
    <row r="720">
      <c r="D720" s="2"/>
    </row>
    <row r="721">
      <c r="D721" s="2"/>
    </row>
    <row r="722">
      <c r="D722" s="2"/>
    </row>
    <row r="723">
      <c r="D723" s="2"/>
    </row>
    <row r="724">
      <c r="D724" s="2"/>
    </row>
    <row r="725">
      <c r="D725" s="2"/>
    </row>
    <row r="726">
      <c r="D726" s="2"/>
    </row>
    <row r="727">
      <c r="D727" s="2"/>
    </row>
    <row r="728">
      <c r="D728" s="2"/>
    </row>
    <row r="729">
      <c r="D729" s="2"/>
    </row>
    <row r="730">
      <c r="D730" s="2"/>
    </row>
    <row r="731">
      <c r="D731" s="2"/>
    </row>
    <row r="732">
      <c r="D732" s="2"/>
    </row>
    <row r="733">
      <c r="D733" s="2"/>
    </row>
    <row r="734">
      <c r="D734" s="2"/>
    </row>
    <row r="735">
      <c r="D735" s="2"/>
    </row>
    <row r="736">
      <c r="D736" s="2"/>
    </row>
    <row r="737">
      <c r="D737" s="2"/>
    </row>
    <row r="738">
      <c r="D738" s="2"/>
    </row>
    <row r="739">
      <c r="D739" s="2"/>
    </row>
    <row r="740">
      <c r="D740" s="2"/>
    </row>
    <row r="741">
      <c r="D741" s="2"/>
    </row>
    <row r="742">
      <c r="D742" s="2"/>
    </row>
    <row r="743">
      <c r="D743" s="2"/>
    </row>
    <row r="744">
      <c r="D744" s="2"/>
    </row>
    <row r="745">
      <c r="D745" s="2"/>
    </row>
    <row r="746">
      <c r="D746" s="2"/>
    </row>
    <row r="747">
      <c r="D747" s="2"/>
    </row>
    <row r="748">
      <c r="D748" s="2"/>
    </row>
    <row r="749">
      <c r="D749" s="2"/>
    </row>
    <row r="750">
      <c r="D750" s="2"/>
    </row>
    <row r="751">
      <c r="D751" s="2"/>
    </row>
    <row r="752">
      <c r="D752" s="2"/>
    </row>
    <row r="753">
      <c r="D753" s="2"/>
    </row>
    <row r="754">
      <c r="D754" s="2"/>
    </row>
    <row r="755">
      <c r="D755" s="2"/>
    </row>
    <row r="756">
      <c r="D756" s="2"/>
    </row>
    <row r="757">
      <c r="D757" s="2"/>
    </row>
    <row r="758">
      <c r="D758" s="2"/>
    </row>
    <row r="759">
      <c r="D759" s="2"/>
    </row>
    <row r="760">
      <c r="D760" s="2"/>
    </row>
    <row r="761">
      <c r="D761" s="2"/>
    </row>
    <row r="762">
      <c r="D762" s="2"/>
    </row>
    <row r="763">
      <c r="D763" s="2"/>
    </row>
    <row r="764">
      <c r="D764" s="2"/>
    </row>
    <row r="765">
      <c r="D765" s="2"/>
    </row>
    <row r="766">
      <c r="D766" s="2"/>
    </row>
    <row r="767">
      <c r="D767" s="2"/>
    </row>
    <row r="768">
      <c r="D768" s="2"/>
    </row>
    <row r="769">
      <c r="D769" s="2"/>
    </row>
    <row r="770">
      <c r="D770" s="2"/>
    </row>
    <row r="771">
      <c r="D771" s="2"/>
    </row>
    <row r="772">
      <c r="D772" s="2"/>
    </row>
    <row r="773">
      <c r="D773" s="2"/>
    </row>
    <row r="774">
      <c r="D774" s="2"/>
    </row>
    <row r="775">
      <c r="D775" s="2"/>
    </row>
    <row r="776">
      <c r="D776" s="2"/>
    </row>
    <row r="777">
      <c r="D777" s="2"/>
    </row>
    <row r="778">
      <c r="D778" s="2"/>
    </row>
    <row r="779">
      <c r="D779" s="2"/>
    </row>
    <row r="780">
      <c r="D780" s="2"/>
    </row>
    <row r="781">
      <c r="D781" s="2"/>
    </row>
    <row r="782">
      <c r="D782" s="2"/>
    </row>
    <row r="783">
      <c r="D783" s="2"/>
    </row>
    <row r="784">
      <c r="D784" s="2"/>
    </row>
    <row r="785">
      <c r="D785" s="2"/>
    </row>
    <row r="786">
      <c r="D786" s="2"/>
    </row>
    <row r="787">
      <c r="D787" s="2"/>
    </row>
    <row r="788">
      <c r="D788" s="2"/>
    </row>
    <row r="789">
      <c r="D789" s="2"/>
    </row>
    <row r="790">
      <c r="D790" s="2"/>
    </row>
    <row r="791">
      <c r="D791" s="2"/>
    </row>
    <row r="792">
      <c r="D792" s="2"/>
    </row>
    <row r="793">
      <c r="D793" s="2"/>
    </row>
    <row r="794">
      <c r="D794" s="2"/>
    </row>
    <row r="795">
      <c r="D795" s="2"/>
    </row>
    <row r="796">
      <c r="D796" s="2"/>
    </row>
    <row r="797">
      <c r="D797" s="2"/>
    </row>
    <row r="798">
      <c r="D798" s="2"/>
    </row>
    <row r="799">
      <c r="D799" s="2"/>
    </row>
    <row r="800">
      <c r="D800" s="2"/>
    </row>
    <row r="801">
      <c r="D801" s="2"/>
    </row>
    <row r="802">
      <c r="D802" s="2"/>
    </row>
    <row r="803">
      <c r="D803" s="2"/>
    </row>
    <row r="804">
      <c r="D804" s="2"/>
    </row>
    <row r="805">
      <c r="D805" s="2"/>
    </row>
    <row r="806">
      <c r="D806" s="2"/>
    </row>
    <row r="807">
      <c r="D807" s="2"/>
    </row>
    <row r="808">
      <c r="D808" s="2"/>
    </row>
    <row r="809">
      <c r="D809" s="2"/>
    </row>
    <row r="810">
      <c r="D810" s="2"/>
    </row>
    <row r="811">
      <c r="D811" s="2"/>
    </row>
    <row r="812">
      <c r="D812" s="2"/>
    </row>
    <row r="813">
      <c r="D813" s="2"/>
    </row>
    <row r="814">
      <c r="D814" s="2"/>
    </row>
    <row r="815">
      <c r="D815" s="2"/>
    </row>
    <row r="816">
      <c r="D816" s="2"/>
    </row>
    <row r="817">
      <c r="D817" s="2"/>
    </row>
    <row r="818">
      <c r="D818" s="2"/>
    </row>
    <row r="819">
      <c r="D819" s="2"/>
    </row>
    <row r="820">
      <c r="D820" s="2"/>
    </row>
    <row r="821">
      <c r="D821" s="2"/>
    </row>
    <row r="822">
      <c r="D822" s="2"/>
    </row>
    <row r="823">
      <c r="D823" s="2"/>
    </row>
    <row r="824">
      <c r="D824" s="2"/>
    </row>
    <row r="825">
      <c r="D825" s="2"/>
    </row>
    <row r="826">
      <c r="D826" s="2"/>
    </row>
    <row r="827">
      <c r="D827" s="2"/>
    </row>
    <row r="828">
      <c r="D828" s="2"/>
    </row>
    <row r="829">
      <c r="D829" s="2"/>
    </row>
    <row r="830">
      <c r="D830" s="2"/>
    </row>
    <row r="831">
      <c r="D831" s="2"/>
    </row>
    <row r="832">
      <c r="D832" s="2"/>
    </row>
    <row r="833">
      <c r="D833" s="2"/>
    </row>
    <row r="834">
      <c r="D834" s="2"/>
    </row>
    <row r="835">
      <c r="D835" s="2"/>
    </row>
    <row r="836">
      <c r="D836" s="2"/>
    </row>
    <row r="837">
      <c r="D837" s="2"/>
    </row>
    <row r="838">
      <c r="D838" s="2"/>
    </row>
    <row r="839">
      <c r="D839" s="2"/>
    </row>
    <row r="840">
      <c r="D840" s="2"/>
    </row>
    <row r="841">
      <c r="D841" s="2"/>
    </row>
    <row r="842">
      <c r="D842" s="2"/>
    </row>
    <row r="843">
      <c r="D843" s="2"/>
    </row>
    <row r="844">
      <c r="D844" s="2"/>
    </row>
    <row r="845">
      <c r="D845" s="2"/>
    </row>
    <row r="846">
      <c r="D846" s="2"/>
    </row>
    <row r="847">
      <c r="D847" s="2"/>
    </row>
    <row r="848">
      <c r="D848" s="2"/>
    </row>
    <row r="849">
      <c r="D849" s="2"/>
    </row>
    <row r="850">
      <c r="D850" s="2"/>
    </row>
    <row r="851">
      <c r="D851" s="2"/>
    </row>
    <row r="852">
      <c r="D852" s="2"/>
    </row>
    <row r="853">
      <c r="D853" s="2"/>
    </row>
    <row r="854">
      <c r="D854" s="2"/>
    </row>
    <row r="855">
      <c r="D855" s="2"/>
    </row>
    <row r="856">
      <c r="D856" s="2"/>
    </row>
    <row r="857">
      <c r="D857" s="2"/>
    </row>
    <row r="858">
      <c r="D858" s="2"/>
    </row>
    <row r="859">
      <c r="D859" s="2"/>
    </row>
    <row r="860">
      <c r="D860" s="2"/>
    </row>
    <row r="861">
      <c r="D861" s="2"/>
    </row>
    <row r="862">
      <c r="D862" s="2"/>
    </row>
    <row r="863">
      <c r="D863" s="2"/>
    </row>
    <row r="864">
      <c r="D864" s="2"/>
    </row>
    <row r="865">
      <c r="D865" s="2"/>
    </row>
    <row r="866">
      <c r="D866" s="2"/>
    </row>
    <row r="867">
      <c r="D867" s="2"/>
    </row>
    <row r="868">
      <c r="D868" s="2"/>
    </row>
    <row r="869">
      <c r="D869" s="2"/>
    </row>
    <row r="870">
      <c r="D870" s="2"/>
    </row>
    <row r="871">
      <c r="D871" s="2"/>
    </row>
    <row r="872">
      <c r="D872" s="2"/>
    </row>
    <row r="873">
      <c r="D873" s="2"/>
    </row>
    <row r="874">
      <c r="D874" s="2"/>
    </row>
    <row r="875">
      <c r="D875" s="2"/>
    </row>
    <row r="876">
      <c r="D876" s="2"/>
    </row>
    <row r="877">
      <c r="D877" s="2"/>
    </row>
    <row r="878">
      <c r="D878" s="2"/>
    </row>
    <row r="879">
      <c r="D879" s="2"/>
    </row>
    <row r="880">
      <c r="D880" s="2"/>
    </row>
    <row r="881">
      <c r="D881" s="2"/>
    </row>
    <row r="882">
      <c r="D882" s="2"/>
    </row>
    <row r="883">
      <c r="D883" s="2"/>
    </row>
    <row r="884">
      <c r="D884" s="2"/>
    </row>
    <row r="885">
      <c r="D885" s="2"/>
    </row>
    <row r="886">
      <c r="D886" s="2"/>
    </row>
    <row r="887">
      <c r="D887" s="2"/>
    </row>
    <row r="888">
      <c r="D888" s="2"/>
    </row>
    <row r="889">
      <c r="D889" s="2"/>
    </row>
    <row r="890">
      <c r="D890" s="2"/>
    </row>
    <row r="891">
      <c r="D891" s="2"/>
    </row>
    <row r="892">
      <c r="D892" s="2"/>
    </row>
    <row r="893">
      <c r="D893" s="2"/>
    </row>
    <row r="894">
      <c r="D894" s="2"/>
    </row>
    <row r="895">
      <c r="D895" s="2"/>
    </row>
    <row r="896">
      <c r="D896" s="2"/>
    </row>
    <row r="897">
      <c r="D897" s="2"/>
    </row>
    <row r="898">
      <c r="D898" s="2"/>
    </row>
    <row r="899">
      <c r="D899" s="2"/>
    </row>
    <row r="900">
      <c r="D900" s="2"/>
    </row>
    <row r="901">
      <c r="D901" s="2"/>
    </row>
    <row r="902">
      <c r="D902" s="2"/>
    </row>
    <row r="903">
      <c r="D903" s="2"/>
    </row>
    <row r="904">
      <c r="D904" s="2"/>
    </row>
    <row r="905">
      <c r="D905" s="2"/>
    </row>
    <row r="906">
      <c r="D906" s="2"/>
    </row>
    <row r="907">
      <c r="D907" s="2"/>
    </row>
    <row r="908">
      <c r="D908" s="2"/>
    </row>
    <row r="909">
      <c r="D909" s="2"/>
    </row>
    <row r="910">
      <c r="D910" s="2"/>
    </row>
    <row r="911">
      <c r="D911" s="2"/>
    </row>
    <row r="912">
      <c r="D912" s="2"/>
    </row>
    <row r="913">
      <c r="D913" s="2"/>
    </row>
    <row r="914">
      <c r="D914" s="2"/>
    </row>
    <row r="915">
      <c r="D915" s="2"/>
    </row>
    <row r="916">
      <c r="D916" s="2"/>
    </row>
    <row r="917">
      <c r="D917" s="2"/>
    </row>
    <row r="918">
      <c r="D918" s="2"/>
    </row>
    <row r="919">
      <c r="D919" s="2"/>
    </row>
    <row r="920">
      <c r="D920" s="2"/>
    </row>
    <row r="921">
      <c r="D921" s="2"/>
    </row>
    <row r="922">
      <c r="D922" s="2"/>
    </row>
    <row r="923">
      <c r="D923" s="2"/>
    </row>
    <row r="924">
      <c r="D924" s="2"/>
    </row>
    <row r="925">
      <c r="D925" s="2"/>
    </row>
    <row r="926">
      <c r="D926" s="2"/>
    </row>
    <row r="927">
      <c r="D927" s="2"/>
    </row>
    <row r="928">
      <c r="D928" s="2"/>
    </row>
    <row r="929">
      <c r="D929" s="2"/>
    </row>
    <row r="930">
      <c r="D930" s="2"/>
    </row>
    <row r="931">
      <c r="D931" s="2"/>
    </row>
    <row r="932">
      <c r="D932" s="2"/>
    </row>
    <row r="933">
      <c r="D933" s="2"/>
    </row>
    <row r="934">
      <c r="D934" s="2"/>
    </row>
    <row r="935">
      <c r="D935" s="2"/>
    </row>
    <row r="936">
      <c r="D936" s="2"/>
    </row>
    <row r="937">
      <c r="D937" s="2"/>
    </row>
    <row r="938">
      <c r="D938" s="2"/>
    </row>
    <row r="939">
      <c r="D939" s="2"/>
    </row>
    <row r="940">
      <c r="D940" s="2"/>
    </row>
    <row r="941">
      <c r="D941" s="2"/>
    </row>
    <row r="942">
      <c r="D942" s="2"/>
    </row>
    <row r="943">
      <c r="D943" s="2"/>
    </row>
    <row r="944">
      <c r="D944" s="2"/>
    </row>
    <row r="945">
      <c r="D945" s="2"/>
    </row>
    <row r="946">
      <c r="D946" s="2"/>
    </row>
    <row r="947">
      <c r="D947" s="2"/>
    </row>
    <row r="948">
      <c r="D948" s="2"/>
    </row>
    <row r="949">
      <c r="D949" s="2"/>
    </row>
    <row r="950">
      <c r="D950" s="2"/>
    </row>
    <row r="951">
      <c r="D951" s="2"/>
    </row>
    <row r="952">
      <c r="D952" s="2"/>
    </row>
    <row r="953">
      <c r="D953" s="2"/>
    </row>
    <row r="954">
      <c r="D954" s="2"/>
    </row>
    <row r="955">
      <c r="D955" s="2"/>
    </row>
    <row r="956">
      <c r="D956" s="2"/>
    </row>
    <row r="957">
      <c r="D957" s="2"/>
    </row>
    <row r="958">
      <c r="D958" s="2"/>
    </row>
    <row r="959">
      <c r="D959" s="2"/>
    </row>
    <row r="960">
      <c r="D960" s="2"/>
    </row>
    <row r="961">
      <c r="D961" s="2"/>
    </row>
    <row r="962">
      <c r="D962" s="2"/>
    </row>
    <row r="963">
      <c r="D963" s="2"/>
    </row>
    <row r="964">
      <c r="D964" s="2"/>
    </row>
    <row r="965">
      <c r="D965" s="2"/>
    </row>
    <row r="966">
      <c r="D966" s="2"/>
    </row>
    <row r="967">
      <c r="D967" s="2"/>
    </row>
    <row r="968">
      <c r="D968" s="2"/>
    </row>
    <row r="969">
      <c r="D969" s="2"/>
    </row>
    <row r="970">
      <c r="D970" s="2"/>
    </row>
    <row r="971">
      <c r="D971" s="2"/>
    </row>
    <row r="972">
      <c r="D972" s="2"/>
    </row>
    <row r="973">
      <c r="D973" s="2"/>
    </row>
    <row r="974">
      <c r="D974" s="2"/>
    </row>
    <row r="975">
      <c r="D975" s="2"/>
    </row>
    <row r="976">
      <c r="D976" s="2"/>
    </row>
    <row r="977">
      <c r="D977" s="2"/>
    </row>
    <row r="978">
      <c r="D978" s="2"/>
    </row>
    <row r="979">
      <c r="D979" s="2"/>
    </row>
    <row r="980">
      <c r="D980" s="2"/>
    </row>
  </sheetData>
  <drawing r:id="rId1"/>
</worksheet>
</file>