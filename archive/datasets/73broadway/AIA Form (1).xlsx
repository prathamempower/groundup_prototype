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ComLns\Confidential (NPI)\Cordaro\Confidential\Confidential\Confidential (230)\Templates\"/>
    </mc:Choice>
  </mc:AlternateContent>
  <xr:revisionPtr revIDLastSave="0" documentId="13_ncr:1_{0902C41E-A231-4D8A-8F23-7CD4604C2B73}" xr6:coauthVersionLast="47" xr6:coauthVersionMax="47" xr10:uidLastSave="{00000000-0000-0000-0000-000000000000}"/>
  <bookViews>
    <workbookView xWindow="-120" yWindow="-120" windowWidth="29040" windowHeight="17520" xr2:uid="{0F63C143-1040-47DB-8B50-D9A2E1995DB5}"/>
  </bookViews>
  <sheets>
    <sheet name="PAGE 1" sheetId="1" r:id="rId1"/>
    <sheet name="PAGE 2" sheetId="2" r:id="rId2"/>
  </sheets>
  <definedNames>
    <definedName name="_xlnm.Print_Titles" localSheetId="1">'PAGE 2'!$1:$15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G26" i="2"/>
  <c r="G24" i="2"/>
  <c r="G21" i="2"/>
  <c r="G28" i="2"/>
  <c r="G30" i="2"/>
  <c r="G31" i="2"/>
  <c r="G34" i="2"/>
  <c r="G20" i="2"/>
  <c r="G39" i="2"/>
  <c r="G58" i="2"/>
  <c r="D60" i="2"/>
  <c r="E60" i="2"/>
  <c r="G55" i="2"/>
  <c r="I55" i="2"/>
  <c r="G47" i="2"/>
  <c r="H47" i="2"/>
  <c r="G44" i="2"/>
  <c r="H36" i="2"/>
  <c r="I42" i="2"/>
  <c r="I25" i="2"/>
  <c r="C60" i="2"/>
  <c r="I59" i="2"/>
  <c r="I58" i="2"/>
  <c r="I57" i="2"/>
  <c r="I54" i="2"/>
  <c r="I17" i="2"/>
  <c r="I51" i="2"/>
  <c r="I48" i="2"/>
  <c r="I49" i="2"/>
  <c r="I45" i="2"/>
  <c r="I46" i="2"/>
  <c r="I50" i="2"/>
  <c r="I24" i="2"/>
  <c r="G23" i="2"/>
  <c r="I23" i="2"/>
  <c r="G22" i="2"/>
  <c r="H22" i="2"/>
  <c r="H21" i="2"/>
  <c r="H20" i="2"/>
  <c r="F60" i="2"/>
  <c r="F25" i="1"/>
  <c r="G16" i="2"/>
  <c r="H16" i="2"/>
  <c r="G18" i="2"/>
  <c r="I18" i="2"/>
  <c r="G19" i="2"/>
  <c r="H19" i="2"/>
  <c r="I26" i="2"/>
  <c r="G27" i="2"/>
  <c r="H27" i="2"/>
  <c r="I28" i="2"/>
  <c r="G29" i="2"/>
  <c r="I29" i="2"/>
  <c r="I30" i="2"/>
  <c r="G32" i="2"/>
  <c r="H32" i="2"/>
  <c r="G33" i="2"/>
  <c r="H33" i="2"/>
  <c r="H34" i="2"/>
  <c r="G35" i="2"/>
  <c r="H35" i="2"/>
  <c r="G37" i="2"/>
  <c r="H37" i="2"/>
  <c r="G38" i="2"/>
  <c r="I38" i="2"/>
  <c r="H39" i="2"/>
  <c r="G40" i="2"/>
  <c r="I40" i="2"/>
  <c r="G41" i="2"/>
  <c r="H41" i="2"/>
  <c r="G43" i="2"/>
  <c r="H43" i="2"/>
  <c r="G19" i="1"/>
  <c r="I47" i="2"/>
  <c r="I36" i="2"/>
  <c r="I21" i="2"/>
  <c r="H40" i="2"/>
  <c r="H18" i="2"/>
  <c r="I22" i="2"/>
  <c r="H23" i="2"/>
  <c r="I39" i="2"/>
  <c r="H30" i="2"/>
  <c r="H38" i="2"/>
  <c r="I16" i="2"/>
  <c r="H29" i="2"/>
  <c r="H28" i="2"/>
  <c r="I37" i="2"/>
  <c r="I19" i="2"/>
  <c r="I35" i="2"/>
  <c r="I27" i="2"/>
  <c r="I34" i="2"/>
  <c r="I43" i="2"/>
  <c r="I33" i="2"/>
  <c r="I41" i="2"/>
  <c r="I32" i="2"/>
  <c r="H26" i="2"/>
  <c r="I20" i="2"/>
  <c r="I31" i="2"/>
  <c r="H31" i="2"/>
  <c r="I44" i="2"/>
  <c r="H44" i="2"/>
  <c r="I60" i="2"/>
  <c r="G28" i="1"/>
  <c r="G60" i="2" l="1"/>
  <c r="G20" i="1" s="1"/>
  <c r="G30" i="1" s="1"/>
  <c r="G34" i="1" l="1"/>
  <c r="G33" i="1"/>
</calcChain>
</file>

<file path=xl/sharedStrings.xml><?xml version="1.0" encoding="utf-8"?>
<sst xmlns="http://schemas.openxmlformats.org/spreadsheetml/2006/main" count="118" uniqueCount="107">
  <si>
    <t>APPLICATION AND CERTIFICATION FOR PAYMENT</t>
  </si>
  <si>
    <t>TO OWNER:</t>
  </si>
  <si>
    <t>FROM CONTRACTOR:</t>
  </si>
  <si>
    <t>PROJECT:</t>
  </si>
  <si>
    <t>AIA DOCUMENT G702</t>
  </si>
  <si>
    <t>Distribution to:</t>
  </si>
  <si>
    <t>APPLICATION NO:</t>
  </si>
  <si>
    <t>PERIOD TO:</t>
  </si>
  <si>
    <t>CONTRACTOR'S APPLICATION FOR PAYMENT</t>
  </si>
  <si>
    <t>Application is made for payment, as shown below, in connection with the Contract.</t>
  </si>
  <si>
    <t>Continuation Sheet, AIA Document G703, is attached.</t>
  </si>
  <si>
    <t>The undersigned Contractor certifiesthat to the best of the Contractor's knowledge,</t>
  </si>
  <si>
    <t xml:space="preserve">information and belief the Work covered by this Application for Payment has been </t>
  </si>
  <si>
    <t>completed in accordance with the Contract Documents, that all amounts have been paid by</t>
  </si>
  <si>
    <t>the Contractor for Work for which previous Certificates for Payment were issued and</t>
  </si>
  <si>
    <t>payments received from the Owner, and that current payment shown herein is now due.</t>
  </si>
  <si>
    <t>1.  ORIGINAL CONTRACT SUM</t>
  </si>
  <si>
    <t>$</t>
  </si>
  <si>
    <t>2.  Net Change by Change Orders</t>
  </si>
  <si>
    <t>5.  RETAINAGE:</t>
  </si>
  <si>
    <t xml:space="preserve">        a. </t>
  </si>
  <si>
    <t xml:space="preserve">% of Completed Work </t>
  </si>
  <si>
    <t>(Column D+E on G703)</t>
  </si>
  <si>
    <t>b.</t>
  </si>
  <si>
    <t xml:space="preserve">% of Stored Material </t>
  </si>
  <si>
    <t>(Column F on G7103)</t>
  </si>
  <si>
    <t xml:space="preserve">Total Retainage (Lines 5a + 5b or </t>
  </si>
  <si>
    <t>Total in Column I of G7103)</t>
  </si>
  <si>
    <t xml:space="preserve">6.  TOTAL EARNED LESS RETAINAGE </t>
  </si>
  <si>
    <t>(Line 4 Less Line 5 Total)</t>
  </si>
  <si>
    <t xml:space="preserve">8.  CURRENT PAYMENT DUE </t>
  </si>
  <si>
    <t>CHANGE ORDER SUMMARY</t>
  </si>
  <si>
    <t xml:space="preserve">Total changes approved </t>
  </si>
  <si>
    <t>in previous months by Owner</t>
  </si>
  <si>
    <t xml:space="preserve">Total approved this Month </t>
  </si>
  <si>
    <t xml:space="preserve">TOTALS </t>
  </si>
  <si>
    <t>NET CHANGES by Change Order</t>
  </si>
  <si>
    <t xml:space="preserve">ADDITIONS </t>
  </si>
  <si>
    <t>DEDUCTIONS</t>
  </si>
  <si>
    <t>CONTRACTOR:</t>
  </si>
  <si>
    <t>By:</t>
  </si>
  <si>
    <t>Date:</t>
  </si>
  <si>
    <t>ARCHITECT'S CERTIFICATE FOR PAYMENT</t>
  </si>
  <si>
    <t>In accordance with the Contract Documents, based on on-site oservations and the data</t>
  </si>
  <si>
    <t xml:space="preserve">comprising the application, the Architect certifies to the Owner that to the best of the </t>
  </si>
  <si>
    <t xml:space="preserve">Architect's knowledge, information and belief the Work has progressed as indicated, </t>
  </si>
  <si>
    <t xml:space="preserve">the quality of the Work is in accordance with the Contract Documents, and the Contractor </t>
  </si>
  <si>
    <t>is entitled to payment of the AMOUNT CERTIFIED.</t>
  </si>
  <si>
    <t>(Attach explination if amount certified differs from the amount applied.  Initial all figures on this</t>
  </si>
  <si>
    <t>Application and onthe Continuation Sheet that are changed to conform with the amount certified.)</t>
  </si>
  <si>
    <t>ARCHITECT:</t>
  </si>
  <si>
    <t xml:space="preserve">This Certificate is not negotiable.  The AMOUNT CERTIFIED is payable only to the </t>
  </si>
  <si>
    <t>Contractor named herein.  Issuance, payment and acceptance of payment are without</t>
  </si>
  <si>
    <t>prejudice to any rights of the Owner or Contractor under this Contract.</t>
  </si>
  <si>
    <t>AMOUNT CERTIFIED ...................$</t>
  </si>
  <si>
    <t>9.  BALANCE TO FINISH, INCLUDING RETAINAGE           $</t>
  </si>
  <si>
    <t>LOCATION:</t>
  </si>
  <si>
    <t>4.  TOTAL COMPLETED &amp; STORED TO DATE                $</t>
  </si>
  <si>
    <t>7.  LESS PREVIOUS CERTIFICATES FOR PAYMENT</t>
  </si>
  <si>
    <t xml:space="preserve">             (Line 6 from prior Certificate)</t>
  </si>
  <si>
    <t xml:space="preserve">             (Line 3 less Line 6)</t>
  </si>
  <si>
    <t xml:space="preserve">             (Column G on G703)</t>
  </si>
  <si>
    <t>3.  CONTRACT SUM TO DATE (Line 1 ± 2)                          $</t>
  </si>
  <si>
    <t>Page 1 of 2</t>
  </si>
  <si>
    <t>CONTINUATION SHEET</t>
  </si>
  <si>
    <t>AIA DOCUMENT G703</t>
  </si>
  <si>
    <t>AIA Document G702, APPLICATION AND CERTIFICATION FOR PAYMENT, containing</t>
  </si>
  <si>
    <t xml:space="preserve">Contractor's signed certification is attached. </t>
  </si>
  <si>
    <t>APPLICATION DATE:</t>
  </si>
  <si>
    <t xml:space="preserve"> </t>
  </si>
  <si>
    <t xml:space="preserve">In tabulations below, amounts are stated to the nearest dollar. </t>
  </si>
  <si>
    <t>Use Column I on Contracts where variable retainage for line items may apply.</t>
  </si>
  <si>
    <t>A</t>
  </si>
  <si>
    <t>B</t>
  </si>
  <si>
    <t>C</t>
  </si>
  <si>
    <t>D</t>
  </si>
  <si>
    <t>E</t>
  </si>
  <si>
    <t>F</t>
  </si>
  <si>
    <t>G</t>
  </si>
  <si>
    <t>H</t>
  </si>
  <si>
    <t xml:space="preserve">ITEM </t>
  </si>
  <si>
    <t xml:space="preserve">DESCRIPTION OF WORK </t>
  </si>
  <si>
    <t>SCHEDULED</t>
  </si>
  <si>
    <t>WORK COMPLETED</t>
  </si>
  <si>
    <t xml:space="preserve">MATERIALS </t>
  </si>
  <si>
    <t xml:space="preserve">TOTAL </t>
  </si>
  <si>
    <t>%</t>
  </si>
  <si>
    <t xml:space="preserve">BALANCE </t>
  </si>
  <si>
    <t>NO.</t>
  </si>
  <si>
    <t>VALUE</t>
  </si>
  <si>
    <t xml:space="preserve">FROM PREVIOUS </t>
  </si>
  <si>
    <t>THIS PERIOD</t>
  </si>
  <si>
    <t>PRESENTLY</t>
  </si>
  <si>
    <t xml:space="preserve">COMPLETED </t>
  </si>
  <si>
    <t>(G ÷ C)</t>
  </si>
  <si>
    <t>TO FINISH</t>
  </si>
  <si>
    <t>APPLICATION</t>
  </si>
  <si>
    <t>STORED</t>
  </si>
  <si>
    <t>AND STORED</t>
  </si>
  <si>
    <t>(C - G)</t>
  </si>
  <si>
    <t>(D + E)</t>
  </si>
  <si>
    <t xml:space="preserve">(Not in </t>
  </si>
  <si>
    <t>TO DATE</t>
  </si>
  <si>
    <t>D or E)</t>
  </si>
  <si>
    <t>(D+E+F)</t>
  </si>
  <si>
    <t>GRAND TOTALS</t>
  </si>
  <si>
    <t>PAGE  2 OF 2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</si>
</sst>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6"/>
      <name val="Arial"/>
      <family val="2"/>
    </font>
    <font>
      <sz val="12"/>
      <name val="Garamond"/>
      <family val="1"/>
    </font>
    <font>
      <sz val="9"/>
      <name val="Garamond"/>
      <family val="1"/>
    </font>
    <font>
      <sz val="10"/>
      <name val="Garamond"/>
      <family val="1"/>
    </font>
    <font>
      <i/>
      <sz val="10"/>
      <name val="Garamond"/>
      <family val="1"/>
    </font>
    <font>
      <sz val="11"/>
      <name val="Garamond"/>
      <family val="1"/>
    </font>
    <font>
      <b/>
      <sz val="10"/>
      <name val="Garamond"/>
      <family val="1"/>
    </font>
    <font>
      <sz val="8"/>
      <name val="Garamond"/>
      <family val="1"/>
    </font>
    <font>
      <sz val="10"/>
      <name val="Arial"/>
      <family val="2"/>
    </font>
    <font>
      <i/>
      <sz val="12"/>
      <name val="Garamond"/>
      <family val="1"/>
    </font>
    <font>
      <b/>
      <sz val="10"/>
      <name val="Arial"/>
      <family val="2"/>
    </font>
    <font>
      <b/>
      <sz val="12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4" fillId="0" borderId="1" xfId="0" applyFont="1" applyBorder="1"/>
    <xf numFmtId="0" fontId="5" fillId="0" borderId="0" xfId="0" applyFont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/>
    <xf numFmtId="0" fontId="6" fillId="0" borderId="1" xfId="0" applyFont="1" applyBorder="1"/>
    <xf numFmtId="0" fontId="4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6" fillId="0" borderId="2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43" fontId="6" fillId="0" borderId="2" xfId="1" applyFont="1" applyBorder="1" applyProtection="1">
      <protection locked="0"/>
    </xf>
    <xf numFmtId="43" fontId="6" fillId="0" borderId="3" xfId="1" applyFont="1" applyBorder="1" applyProtection="1">
      <protection locked="0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2" xfId="0" applyNumberFormat="1" applyFont="1" applyBorder="1" applyProtection="1">
      <protection locked="0"/>
    </xf>
    <xf numFmtId="43" fontId="6" fillId="0" borderId="0" xfId="1" applyFont="1"/>
    <xf numFmtId="0" fontId="6" fillId="0" borderId="2" xfId="0" applyFont="1" applyBorder="1" applyProtection="1">
      <protection locked="0"/>
    </xf>
    <xf numFmtId="43" fontId="6" fillId="0" borderId="2" xfId="0" applyNumberFormat="1" applyFont="1" applyBorder="1" applyAlignment="1" applyProtection="1">
      <alignment horizontal="right"/>
      <protection locked="0"/>
    </xf>
    <xf numFmtId="14" fontId="6" fillId="0" borderId="0" xfId="0" applyNumberFormat="1" applyFont="1" applyProtection="1">
      <protection locked="0"/>
    </xf>
    <xf numFmtId="43" fontId="9" fillId="0" borderId="3" xfId="1" applyFont="1" applyBorder="1" applyProtection="1">
      <protection locked="0"/>
    </xf>
    <xf numFmtId="0" fontId="6" fillId="0" borderId="4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6" fillId="0" borderId="6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9" xfId="0" applyFont="1" applyBorder="1"/>
    <xf numFmtId="0" fontId="6" fillId="0" borderId="10" xfId="0" applyFont="1" applyBorder="1" applyProtection="1">
      <protection locked="0"/>
    </xf>
    <xf numFmtId="0" fontId="6" fillId="0" borderId="11" xfId="0" applyFont="1" applyBorder="1" applyProtection="1">
      <protection locked="0"/>
    </xf>
    <xf numFmtId="0" fontId="5" fillId="0" borderId="12" xfId="0" applyFont="1" applyBorder="1"/>
    <xf numFmtId="0" fontId="6" fillId="0" borderId="13" xfId="0" applyFont="1" applyBorder="1" applyProtection="1">
      <protection locked="0"/>
    </xf>
    <xf numFmtId="0" fontId="6" fillId="0" borderId="14" xfId="0" applyFont="1" applyBorder="1" applyProtection="1">
      <protection locked="0"/>
    </xf>
    <xf numFmtId="0" fontId="5" fillId="0" borderId="0" xfId="0" applyFont="1" applyAlignment="1">
      <alignment horizontal="center"/>
    </xf>
    <xf numFmtId="0" fontId="5" fillId="0" borderId="15" xfId="0" applyFont="1" applyBorder="1"/>
    <xf numFmtId="0" fontId="6" fillId="0" borderId="3" xfId="0" applyFont="1" applyBorder="1"/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5" fillId="0" borderId="18" xfId="0" applyFont="1" applyBorder="1"/>
    <xf numFmtId="0" fontId="6" fillId="0" borderId="19" xfId="0" applyFont="1" applyBorder="1" applyProtection="1">
      <protection locked="0"/>
    </xf>
    <xf numFmtId="0" fontId="6" fillId="0" borderId="20" xfId="0" applyFont="1" applyBorder="1" applyProtection="1">
      <protection locked="0"/>
    </xf>
    <xf numFmtId="0" fontId="11" fillId="0" borderId="0" xfId="0" applyFont="1"/>
    <xf numFmtId="0" fontId="11" fillId="0" borderId="1" xfId="0" applyFont="1" applyBorder="1"/>
    <xf numFmtId="0" fontId="12" fillId="0" borderId="1" xfId="0" applyFont="1" applyBorder="1"/>
    <xf numFmtId="0" fontId="10" fillId="0" borderId="1" xfId="0" applyFont="1" applyBorder="1" applyAlignment="1" applyProtection="1">
      <alignment horizontal="center"/>
      <protection locked="0"/>
    </xf>
    <xf numFmtId="0" fontId="6" fillId="0" borderId="21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164" fontId="6" fillId="0" borderId="2" xfId="0" applyNumberFormat="1" applyFont="1" applyBorder="1" applyProtection="1">
      <protection locked="0"/>
    </xf>
    <xf numFmtId="0" fontId="13" fillId="0" borderId="22" xfId="0" applyFont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Continuous"/>
    </xf>
    <xf numFmtId="0" fontId="5" fillId="0" borderId="24" xfId="0" applyFont="1" applyBorder="1" applyAlignment="1">
      <alignment horizontal="centerContinuous"/>
    </xf>
    <xf numFmtId="0" fontId="5" fillId="0" borderId="23" xfId="0" applyFont="1" applyBorder="1"/>
    <xf numFmtId="0" fontId="5" fillId="0" borderId="25" xfId="0" applyFont="1" applyBorder="1" applyAlignment="1">
      <alignment horizontal="center"/>
    </xf>
    <xf numFmtId="0" fontId="5" fillId="0" borderId="26" xfId="0" applyFont="1" applyBorder="1"/>
    <xf numFmtId="0" fontId="5" fillId="0" borderId="26" xfId="0" applyFont="1" applyBorder="1" applyAlignment="1">
      <alignment horizontal="center"/>
    </xf>
    <xf numFmtId="0" fontId="6" fillId="0" borderId="23" xfId="0" applyFont="1" applyBorder="1"/>
    <xf numFmtId="0" fontId="6" fillId="0" borderId="23" xfId="0" applyFont="1" applyBorder="1" applyProtection="1">
      <protection locked="0"/>
    </xf>
    <xf numFmtId="44" fontId="6" fillId="0" borderId="23" xfId="2" applyFont="1" applyBorder="1" applyProtection="1">
      <protection locked="0"/>
    </xf>
    <xf numFmtId="0" fontId="9" fillId="0" borderId="27" xfId="0" applyFont="1" applyBorder="1"/>
    <xf numFmtId="44" fontId="9" fillId="0" borderId="27" xfId="2" applyFont="1" applyBorder="1"/>
    <xf numFmtId="10" fontId="6" fillId="0" borderId="23" xfId="0" applyNumberFormat="1" applyFont="1" applyBorder="1"/>
    <xf numFmtId="44" fontId="9" fillId="0" borderId="27" xfId="0" applyNumberFormat="1" applyFont="1" applyBorder="1"/>
    <xf numFmtId="44" fontId="6" fillId="0" borderId="23" xfId="2" applyFont="1" applyBorder="1" applyProtection="1"/>
    <xf numFmtId="10" fontId="6" fillId="0" borderId="23" xfId="0" applyNumberFormat="1" applyFont="1" applyBorder="1" applyProtection="1">
      <protection locked="0"/>
    </xf>
    <xf numFmtId="43" fontId="6" fillId="0" borderId="2" xfId="2" applyNumberFormat="1" applyFont="1" applyBorder="1" applyAlignment="1" applyProtection="1">
      <alignment horizontal="right"/>
      <protection locked="0"/>
    </xf>
    <xf numFmtId="0" fontId="10" fillId="0" borderId="1" xfId="0" applyFont="1" applyBorder="1" applyAlignment="1" applyProtection="1">
      <alignment horizontal="right"/>
      <protection locked="0"/>
    </xf>
    <xf numFmtId="0" fontId="14" fillId="0" borderId="1" xfId="0" applyFont="1" applyBorder="1"/>
    <xf numFmtId="0" fontId="6" fillId="0" borderId="28" xfId="0" applyFont="1" applyBorder="1"/>
    <xf numFmtId="44" fontId="6" fillId="0" borderId="25" xfId="2" applyFont="1" applyBorder="1" applyProtection="1">
      <protection locked="0"/>
    </xf>
    <xf numFmtId="0" fontId="6" fillId="0" borderId="29" xfId="0" applyFont="1" applyBorder="1" applyProtection="1">
      <protection locked="0"/>
    </xf>
    <xf numFmtId="44" fontId="6" fillId="0" borderId="30" xfId="2" applyFont="1" applyBorder="1" applyProtection="1">
      <protection locked="0"/>
    </xf>
    <xf numFmtId="10" fontId="6" fillId="0" borderId="30" xfId="0" applyNumberFormat="1" applyFont="1" applyBorder="1" applyProtection="1">
      <protection locked="0"/>
    </xf>
    <xf numFmtId="44" fontId="6" fillId="0" borderId="30" xfId="2" applyFont="1" applyBorder="1" applyProtection="1"/>
    <xf numFmtId="10" fontId="6" fillId="0" borderId="30" xfId="0" applyNumberFormat="1" applyFont="1" applyBorder="1"/>
    <xf numFmtId="0" fontId="6" fillId="0" borderId="30" xfId="0" applyFont="1" applyBorder="1" applyProtection="1">
      <protection locked="0"/>
    </xf>
    <xf numFmtId="44" fontId="6" fillId="0" borderId="31" xfId="2" applyFont="1" applyBorder="1" applyProtection="1">
      <protection locked="0"/>
    </xf>
    <xf numFmtId="0" fontId="6" fillId="0" borderId="32" xfId="0" applyFont="1" applyBorder="1" applyProtection="1">
      <protection locked="0"/>
    </xf>
    <xf numFmtId="44" fontId="6" fillId="0" borderId="33" xfId="2" applyFont="1" applyBorder="1" applyProtection="1">
      <protection locked="0"/>
    </xf>
    <xf numFmtId="44" fontId="6" fillId="0" borderId="34" xfId="2" applyFont="1" applyBorder="1" applyProtection="1">
      <protection locked="0"/>
    </xf>
    <xf numFmtId="10" fontId="6" fillId="0" borderId="35" xfId="0" applyNumberFormat="1" applyFont="1" applyBorder="1"/>
    <xf numFmtId="44" fontId="6" fillId="2" borderId="30" xfId="2" applyFont="1" applyFill="1" applyBorder="1" applyProtection="1">
      <protection locked="0"/>
    </xf>
    <xf numFmtId="0" fontId="5" fillId="0" borderId="33" xfId="0" applyFont="1" applyBorder="1" applyAlignment="1">
      <alignment horizontal="center"/>
    </xf>
    <xf numFmtId="0" fontId="6" fillId="0" borderId="31" xfId="0" applyFont="1" applyBorder="1" applyProtection="1">
      <protection locked="0"/>
    </xf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0" applyFont="1"/>
    <xf numFmtId="0" fontId="0" fillId="0" borderId="0" xfId="0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20</xdr:row>
      <xdr:rowOff>0</xdr:rowOff>
    </xdr:from>
    <xdr:to>
      <xdr:col>9</xdr:col>
      <xdr:colOff>9525</xdr:colOff>
      <xdr:row>20</xdr:row>
      <xdr:rowOff>0</xdr:rowOff>
    </xdr:to>
    <xdr:sp macro="" textlink="">
      <xdr:nvSpPr>
        <xdr:cNvPr id="1069" name="Line 21">
          <a:extLst>
            <a:ext uri="{FF2B5EF4-FFF2-40B4-BE49-F238E27FC236}">
              <a16:creationId xmlns:a16="http://schemas.microsoft.com/office/drawing/2014/main" id="{907B168F-34EF-6373-3668-58CBB3EB8F2B}"/>
            </a:ext>
          </a:extLst>
        </xdr:cNvPr>
        <xdr:cNvSpPr>
          <a:spLocks noChangeShapeType="1"/>
        </xdr:cNvSpPr>
      </xdr:nvSpPr>
      <xdr:spPr bwMode="auto">
        <a:xfrm flipH="1">
          <a:off x="4543425" y="344805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200025</xdr:colOff>
      <xdr:row>39</xdr:row>
      <xdr:rowOff>0</xdr:rowOff>
    </xdr:from>
    <xdr:to>
      <xdr:col>8</xdr:col>
      <xdr:colOff>971550</xdr:colOff>
      <xdr:row>39</xdr:row>
      <xdr:rowOff>0</xdr:rowOff>
    </xdr:to>
    <xdr:sp macro="" textlink="">
      <xdr:nvSpPr>
        <xdr:cNvPr id="1070" name="Line 24">
          <a:extLst>
            <a:ext uri="{FF2B5EF4-FFF2-40B4-BE49-F238E27FC236}">
              <a16:creationId xmlns:a16="http://schemas.microsoft.com/office/drawing/2014/main" id="{F49C9A5C-CF89-AC2C-7CF8-EF3E16540C9A}"/>
            </a:ext>
          </a:extLst>
        </xdr:cNvPr>
        <xdr:cNvSpPr>
          <a:spLocks noChangeShapeType="1"/>
        </xdr:cNvSpPr>
      </xdr:nvSpPr>
      <xdr:spPr bwMode="auto">
        <a:xfrm flipH="1">
          <a:off x="4552950" y="649605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821E-88E3-442D-B239-CB6F89846362}">
  <dimension ref="A1:N43"/>
  <sheetViews>
    <sheetView tabSelected="1" workbookViewId="0">
      <selection activeCell="R9" sqref="R9"/>
    </sheetView>
  </sheetViews>
  <sheetFormatPr defaultColWidth="8.7109375" defaultRowHeight="12.75" x14ac:dyDescent="0.2"/>
  <cols>
    <col min="1" max="1" width="6" customWidth="1"/>
    <col min="2" max="2" width="4.7109375" customWidth="1"/>
    <col min="3" max="3" width="8.28515625" customWidth="1"/>
    <col min="4" max="4" width="11.140625" customWidth="1"/>
    <col min="5" max="5" width="3.7109375" customWidth="1"/>
    <col min="6" max="6" width="12.5703125" customWidth="1"/>
    <col min="7" max="7" width="17" customWidth="1"/>
    <col min="8" max="8" width="1.85546875" customWidth="1"/>
    <col min="9" max="9" width="14.85546875" customWidth="1"/>
    <col min="10" max="10" width="12.7109375" customWidth="1"/>
    <col min="11" max="11" width="6.5703125" customWidth="1"/>
    <col min="12" max="12" width="6.140625" customWidth="1"/>
    <col min="13" max="13" width="8.7109375" customWidth="1"/>
    <col min="14" max="14" width="14.5703125" customWidth="1"/>
  </cols>
  <sheetData>
    <row r="1" spans="1:14" ht="16.5" thickBot="1" x14ac:dyDescent="0.3">
      <c r="A1" s="7" t="s">
        <v>0</v>
      </c>
      <c r="B1" s="2"/>
      <c r="C1" s="2"/>
      <c r="D1" s="2"/>
      <c r="E1" s="2"/>
      <c r="F1" s="2"/>
      <c r="G1" s="2"/>
      <c r="H1" s="2"/>
      <c r="I1" s="52" t="s">
        <v>4</v>
      </c>
      <c r="J1" s="2"/>
      <c r="K1" s="3"/>
      <c r="L1" s="3"/>
      <c r="M1" s="3"/>
      <c r="N1" s="76" t="s">
        <v>63</v>
      </c>
    </row>
    <row r="2" spans="1:14" ht="3.6" customHeight="1" x14ac:dyDescent="0.2"/>
    <row r="3" spans="1:14" s="50" customFormat="1" ht="15" customHeight="1" x14ac:dyDescent="0.2">
      <c r="A3" s="15" t="s">
        <v>1</v>
      </c>
      <c r="B3" s="15"/>
      <c r="C3" s="9"/>
      <c r="D3" s="9"/>
      <c r="E3" s="9"/>
      <c r="F3" s="94" t="s">
        <v>3</v>
      </c>
      <c r="G3" s="10"/>
      <c r="I3" s="15" t="s">
        <v>6</v>
      </c>
      <c r="J3" s="4"/>
      <c r="L3" s="15" t="s">
        <v>5</v>
      </c>
      <c r="M3" s="95"/>
    </row>
    <row r="4" spans="1:14" s="50" customFormat="1" ht="15" customHeight="1" x14ac:dyDescent="0.2">
      <c r="A4" s="11"/>
      <c r="B4" s="11"/>
      <c r="C4" s="9"/>
      <c r="D4" s="9"/>
      <c r="E4" s="9"/>
      <c r="F4" s="94" t="s">
        <v>56</v>
      </c>
      <c r="G4" s="9"/>
      <c r="I4" s="11"/>
      <c r="J4" s="4"/>
      <c r="M4" s="11"/>
    </row>
    <row r="5" spans="1:14" s="50" customFormat="1" ht="15" customHeight="1" x14ac:dyDescent="0.2">
      <c r="A5" s="11"/>
      <c r="B5" s="11"/>
      <c r="C5" s="9"/>
      <c r="D5" s="9"/>
      <c r="E5" s="9"/>
      <c r="F5" s="11"/>
      <c r="G5" s="9"/>
      <c r="I5" s="15" t="s">
        <v>7</v>
      </c>
      <c r="J5" s="5"/>
      <c r="M5" s="11"/>
    </row>
    <row r="6" spans="1:14" s="50" customFormat="1" ht="15" customHeight="1" x14ac:dyDescent="0.2">
      <c r="A6" s="11"/>
      <c r="B6" s="11"/>
      <c r="C6" s="9"/>
      <c r="D6" s="9"/>
      <c r="E6" s="9"/>
      <c r="F6" s="11"/>
      <c r="G6" s="9"/>
      <c r="I6" s="11"/>
      <c r="J6" s="5"/>
      <c r="M6" s="11"/>
    </row>
    <row r="7" spans="1:14" s="50" customFormat="1" ht="15" customHeight="1" x14ac:dyDescent="0.2">
      <c r="A7" s="15" t="s">
        <v>2</v>
      </c>
      <c r="B7" s="15"/>
      <c r="C7" s="15"/>
      <c r="D7" s="11"/>
      <c r="E7" s="11"/>
      <c r="F7" s="20"/>
      <c r="G7" s="9"/>
      <c r="I7" s="11"/>
      <c r="J7" s="4"/>
    </row>
    <row r="8" spans="1:14" s="50" customFormat="1" ht="15" customHeight="1" x14ac:dyDescent="0.2">
      <c r="A8" s="11"/>
      <c r="B8" s="15"/>
      <c r="C8" s="11"/>
      <c r="D8" s="11"/>
      <c r="E8" s="11"/>
      <c r="F8" s="11"/>
      <c r="G8" s="9"/>
      <c r="I8" s="11"/>
      <c r="J8" s="4"/>
    </row>
    <row r="9" spans="1:14" s="50" customFormat="1" ht="15" customHeight="1" x14ac:dyDescent="0.2">
      <c r="A9" s="11"/>
      <c r="B9" s="15"/>
      <c r="C9" s="11"/>
      <c r="D9" s="11"/>
      <c r="E9" s="11"/>
      <c r="F9" s="11"/>
      <c r="G9" s="9"/>
      <c r="I9" s="11"/>
      <c r="J9" s="4"/>
    </row>
    <row r="10" spans="1:14" s="50" customFormat="1" ht="15" customHeight="1" x14ac:dyDescent="0.2">
      <c r="A10" s="11"/>
      <c r="B10" s="15"/>
      <c r="C10" s="11"/>
      <c r="D10" s="11"/>
      <c r="E10" s="11"/>
      <c r="F10" s="11"/>
      <c r="G10" s="9"/>
      <c r="I10" s="11"/>
      <c r="J10" s="4"/>
    </row>
    <row r="11" spans="1:14" s="50" customFormat="1" ht="15" customHeight="1" thickBot="1" x14ac:dyDescent="0.25">
      <c r="A11" s="12"/>
      <c r="B11" s="12"/>
      <c r="C11" s="12"/>
      <c r="D11" s="12"/>
      <c r="E11" s="12"/>
      <c r="F11" s="12"/>
      <c r="G11" s="12"/>
      <c r="H11" s="51"/>
      <c r="I11" s="12"/>
      <c r="J11" s="6"/>
      <c r="K11" s="51"/>
      <c r="L11" s="51"/>
      <c r="M11" s="51"/>
      <c r="N11" s="51"/>
    </row>
    <row r="12" spans="1:14" ht="15" customHeight="1" x14ac:dyDescent="0.25">
      <c r="A12" s="13" t="s">
        <v>8</v>
      </c>
      <c r="I12" s="19" t="s">
        <v>11</v>
      </c>
    </row>
    <row r="13" spans="1:14" x14ac:dyDescent="0.2">
      <c r="A13" s="8" t="s">
        <v>9</v>
      </c>
      <c r="I13" s="19" t="s">
        <v>12</v>
      </c>
    </row>
    <row r="14" spans="1:14" x14ac:dyDescent="0.2">
      <c r="A14" s="8" t="s">
        <v>10</v>
      </c>
      <c r="I14" s="19" t="s">
        <v>13</v>
      </c>
    </row>
    <row r="15" spans="1:14" x14ac:dyDescent="0.2">
      <c r="I15" s="19" t="s">
        <v>14</v>
      </c>
    </row>
    <row r="16" spans="1:14" x14ac:dyDescent="0.2">
      <c r="E16" s="1"/>
      <c r="F16" s="1"/>
      <c r="G16" s="1"/>
      <c r="I16" s="19" t="s">
        <v>15</v>
      </c>
    </row>
    <row r="17" spans="1:14" s="11" customFormat="1" x14ac:dyDescent="0.2">
      <c r="A17" s="11" t="s">
        <v>16</v>
      </c>
      <c r="F17" s="20" t="s">
        <v>17</v>
      </c>
      <c r="G17" s="21"/>
    </row>
    <row r="18" spans="1:14" s="11" customFormat="1" x14ac:dyDescent="0.2">
      <c r="A18" s="11" t="s">
        <v>18</v>
      </c>
      <c r="F18" s="20" t="s">
        <v>17</v>
      </c>
      <c r="G18" s="22"/>
      <c r="I18" s="11" t="s">
        <v>39</v>
      </c>
      <c r="J18" s="15"/>
    </row>
    <row r="19" spans="1:14" s="11" customFormat="1" x14ac:dyDescent="0.2">
      <c r="A19" s="96" t="s">
        <v>62</v>
      </c>
      <c r="B19" s="97"/>
      <c r="C19" s="97"/>
      <c r="D19" s="97"/>
      <c r="E19" s="97"/>
      <c r="F19" s="97"/>
      <c r="G19" s="22">
        <f>G17+G18</f>
        <v>0</v>
      </c>
    </row>
    <row r="20" spans="1:14" s="11" customFormat="1" x14ac:dyDescent="0.2">
      <c r="A20" s="96" t="s">
        <v>57</v>
      </c>
      <c r="B20" s="97"/>
      <c r="C20" s="97"/>
      <c r="D20" s="97"/>
      <c r="E20" s="97"/>
      <c r="F20" s="97"/>
      <c r="G20" s="22">
        <f>'PAGE 2'!G60</f>
        <v>0</v>
      </c>
      <c r="I20" s="23" t="s">
        <v>40</v>
      </c>
      <c r="J20" s="18"/>
      <c r="K20" s="18"/>
      <c r="L20" s="24" t="s">
        <v>41</v>
      </c>
      <c r="M20" s="25"/>
    </row>
    <row r="21" spans="1:14" s="11" customFormat="1" x14ac:dyDescent="0.2">
      <c r="A21" s="11" t="s">
        <v>61</v>
      </c>
      <c r="G21" s="26"/>
      <c r="I21" s="9"/>
      <c r="J21" s="9"/>
      <c r="K21" s="9"/>
      <c r="L21" s="9"/>
      <c r="M21" s="9"/>
    </row>
    <row r="22" spans="1:14" s="11" customFormat="1" x14ac:dyDescent="0.2">
      <c r="A22" s="11" t="s">
        <v>19</v>
      </c>
      <c r="G22" s="26"/>
    </row>
    <row r="23" spans="1:14" s="11" customFormat="1" x14ac:dyDescent="0.2">
      <c r="A23" s="11" t="s">
        <v>20</v>
      </c>
      <c r="B23" s="27">
        <v>10</v>
      </c>
      <c r="C23" s="23" t="s">
        <v>21</v>
      </c>
      <c r="E23" s="20" t="s">
        <v>17</v>
      </c>
      <c r="F23" s="28"/>
      <c r="G23" s="26"/>
      <c r="I23" s="96"/>
      <c r="J23" s="97"/>
      <c r="K23" s="97"/>
      <c r="L23" s="97"/>
      <c r="M23" s="97"/>
      <c r="N23" s="97"/>
    </row>
    <row r="24" spans="1:14" s="11" customFormat="1" x14ac:dyDescent="0.2">
      <c r="B24" s="11" t="s">
        <v>22</v>
      </c>
      <c r="F24" s="20"/>
      <c r="G24" s="26"/>
      <c r="J24" s="9"/>
    </row>
    <row r="25" spans="1:14" s="11" customFormat="1" x14ac:dyDescent="0.2">
      <c r="A25" s="20" t="s">
        <v>23</v>
      </c>
      <c r="B25" s="18"/>
      <c r="C25" s="11" t="s">
        <v>24</v>
      </c>
      <c r="E25" s="20" t="s">
        <v>17</v>
      </c>
      <c r="F25" s="75">
        <f>'PAGE 2'!F60</f>
        <v>0</v>
      </c>
      <c r="G25" s="26"/>
      <c r="J25" s="29"/>
    </row>
    <row r="26" spans="1:14" s="11" customFormat="1" ht="13.5" thickBot="1" x14ac:dyDescent="0.25">
      <c r="B26" s="11" t="s">
        <v>25</v>
      </c>
      <c r="G26" s="26"/>
      <c r="I26" s="12"/>
      <c r="J26" s="12"/>
      <c r="K26" s="12"/>
      <c r="L26" s="12"/>
      <c r="M26" s="12"/>
      <c r="N26" s="12"/>
    </row>
    <row r="27" spans="1:14" s="11" customFormat="1" ht="15" x14ac:dyDescent="0.25">
      <c r="B27" s="11" t="s">
        <v>26</v>
      </c>
      <c r="G27" s="26"/>
      <c r="I27" s="14" t="s">
        <v>42</v>
      </c>
    </row>
    <row r="28" spans="1:14" s="11" customFormat="1" x14ac:dyDescent="0.2">
      <c r="B28" s="11" t="s">
        <v>27</v>
      </c>
      <c r="F28" s="20" t="s">
        <v>17</v>
      </c>
      <c r="G28" s="21">
        <f>F23+F25</f>
        <v>0</v>
      </c>
      <c r="I28" s="8" t="s">
        <v>43</v>
      </c>
    </row>
    <row r="29" spans="1:14" s="11" customFormat="1" x14ac:dyDescent="0.2">
      <c r="A29" s="11" t="s">
        <v>28</v>
      </c>
      <c r="G29" s="26"/>
      <c r="I29" s="8" t="s">
        <v>44</v>
      </c>
    </row>
    <row r="30" spans="1:14" s="11" customFormat="1" x14ac:dyDescent="0.2">
      <c r="B30" s="11" t="s">
        <v>29</v>
      </c>
      <c r="F30" s="20" t="s">
        <v>17</v>
      </c>
      <c r="G30" s="21">
        <f>G20-G28</f>
        <v>0</v>
      </c>
      <c r="I30" s="8" t="s">
        <v>45</v>
      </c>
    </row>
    <row r="31" spans="1:14" s="11" customFormat="1" x14ac:dyDescent="0.2">
      <c r="A31" s="96" t="s">
        <v>58</v>
      </c>
      <c r="B31" s="96"/>
      <c r="C31" s="96"/>
      <c r="D31" s="96"/>
      <c r="E31" s="96"/>
      <c r="F31" s="96"/>
      <c r="G31" s="26"/>
      <c r="I31" s="8" t="s">
        <v>46</v>
      </c>
    </row>
    <row r="32" spans="1:14" s="11" customFormat="1" x14ac:dyDescent="0.2">
      <c r="A32" s="11" t="s">
        <v>59</v>
      </c>
      <c r="F32" s="20" t="s">
        <v>17</v>
      </c>
      <c r="G32" s="21"/>
      <c r="I32" s="8" t="s">
        <v>47</v>
      </c>
    </row>
    <row r="33" spans="1:14" s="11" customFormat="1" x14ac:dyDescent="0.2">
      <c r="A33" s="11" t="s">
        <v>30</v>
      </c>
      <c r="F33" s="20" t="s">
        <v>17</v>
      </c>
      <c r="G33" s="30">
        <f>G30-G32</f>
        <v>0</v>
      </c>
    </row>
    <row r="34" spans="1:14" s="11" customFormat="1" x14ac:dyDescent="0.2">
      <c r="A34" s="96" t="s">
        <v>55</v>
      </c>
      <c r="B34" s="96"/>
      <c r="C34" s="96"/>
      <c r="D34" s="96"/>
      <c r="E34" s="96"/>
      <c r="F34" s="96"/>
      <c r="G34" s="22">
        <f>G19-G30</f>
        <v>0</v>
      </c>
      <c r="I34" s="11" t="s">
        <v>54</v>
      </c>
      <c r="K34" s="27"/>
      <c r="L34" s="27"/>
    </row>
    <row r="35" spans="1:14" s="11" customFormat="1" ht="11.45" customHeight="1" x14ac:dyDescent="0.2">
      <c r="A35" s="11" t="s">
        <v>60</v>
      </c>
    </row>
    <row r="36" spans="1:14" s="11" customFormat="1" ht="12" customHeight="1" thickBot="1" x14ac:dyDescent="0.25">
      <c r="I36" s="16" t="s">
        <v>48</v>
      </c>
    </row>
    <row r="37" spans="1:14" s="11" customFormat="1" ht="11.45" customHeight="1" x14ac:dyDescent="0.2">
      <c r="A37" s="31" t="s">
        <v>31</v>
      </c>
      <c r="B37" s="32"/>
      <c r="C37" s="32"/>
      <c r="D37" s="32"/>
      <c r="E37" s="33"/>
      <c r="F37" s="34" t="s">
        <v>37</v>
      </c>
      <c r="G37" s="35" t="s">
        <v>38</v>
      </c>
      <c r="I37" s="16" t="s">
        <v>49</v>
      </c>
    </row>
    <row r="38" spans="1:14" s="11" customFormat="1" ht="11.45" customHeight="1" x14ac:dyDescent="0.2">
      <c r="A38" s="36" t="s">
        <v>32</v>
      </c>
      <c r="F38" s="37"/>
      <c r="G38" s="38"/>
      <c r="H38" s="24"/>
      <c r="I38" s="8" t="s">
        <v>50</v>
      </c>
    </row>
    <row r="39" spans="1:14" s="11" customFormat="1" x14ac:dyDescent="0.2">
      <c r="A39" s="39" t="s">
        <v>33</v>
      </c>
      <c r="B39" s="18"/>
      <c r="C39" s="18"/>
      <c r="D39" s="18"/>
      <c r="E39" s="18"/>
      <c r="F39" s="40"/>
      <c r="G39" s="41"/>
      <c r="I39" s="19" t="s">
        <v>40</v>
      </c>
      <c r="J39" s="18"/>
      <c r="K39" s="18"/>
      <c r="L39" s="42" t="s">
        <v>41</v>
      </c>
      <c r="M39" s="18"/>
      <c r="N39" s="18"/>
    </row>
    <row r="40" spans="1:14" s="11" customFormat="1" x14ac:dyDescent="0.2">
      <c r="A40" s="43" t="s">
        <v>34</v>
      </c>
      <c r="B40" s="44"/>
      <c r="C40" s="44"/>
      <c r="D40" s="44"/>
      <c r="E40" s="44"/>
      <c r="F40" s="45"/>
      <c r="G40" s="41"/>
      <c r="I40" s="17" t="s">
        <v>51</v>
      </c>
    </row>
    <row r="41" spans="1:14" s="11" customFormat="1" x14ac:dyDescent="0.2">
      <c r="A41" s="43" t="s">
        <v>35</v>
      </c>
      <c r="B41" s="44"/>
      <c r="C41" s="44"/>
      <c r="D41" s="44"/>
      <c r="E41" s="44"/>
      <c r="F41" s="45"/>
      <c r="G41" s="46"/>
      <c r="I41" s="17" t="s">
        <v>52</v>
      </c>
    </row>
    <row r="42" spans="1:14" s="11" customFormat="1" ht="13.5" thickBot="1" x14ac:dyDescent="0.25">
      <c r="A42" s="47" t="s">
        <v>36</v>
      </c>
      <c r="B42" s="12"/>
      <c r="C42" s="12"/>
      <c r="D42" s="12"/>
      <c r="E42" s="12"/>
      <c r="F42" s="48"/>
      <c r="G42" s="49"/>
      <c r="I42" s="17" t="s">
        <v>53</v>
      </c>
    </row>
    <row r="43" spans="1:14" ht="6" customHeight="1" thickBo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</sheetData>
  <mergeCells count="5">
    <mergeCell ref="A19:F19"/>
    <mergeCell ref="I23:N23"/>
    <mergeCell ref="A34:F34"/>
    <mergeCell ref="A20:F20"/>
    <mergeCell ref="A31:F31"/>
  </mergeCells>
  <phoneticPr fontId="0" type="noConversion"/>
  <printOptions horizontalCentered="1"/>
  <pageMargins left="0.25" right="0.25" top="0.25" bottom="0.25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24DA-F3CF-4AF2-B8B0-62BF06BC20C5}">
  <dimension ref="A1:J60"/>
  <sheetViews>
    <sheetView topLeftCell="A23" zoomScaleNormal="100" zoomScaleSheetLayoutView="100" workbookViewId="0">
      <selection activeCell="G21" sqref="G21"/>
    </sheetView>
  </sheetViews>
  <sheetFormatPr defaultColWidth="8.7109375" defaultRowHeight="12.75" x14ac:dyDescent="0.2"/>
  <cols>
    <col min="1" max="1" width="6.28515625" customWidth="1"/>
    <col min="2" max="2" width="27.7109375" customWidth="1"/>
    <col min="3" max="3" width="13" customWidth="1"/>
    <col min="4" max="5" width="13.85546875" customWidth="1"/>
    <col min="6" max="6" width="11.5703125" bestFit="1" customWidth="1"/>
    <col min="7" max="7" width="12.85546875" customWidth="1"/>
    <col min="9" max="9" width="12.7109375" customWidth="1"/>
    <col min="10" max="10" width="14.7109375" bestFit="1" customWidth="1"/>
    <col min="11" max="11" width="9.7109375" bestFit="1" customWidth="1"/>
  </cols>
  <sheetData>
    <row r="1" spans="1:10" ht="16.5" thickBot="1" x14ac:dyDescent="0.3">
      <c r="A1" s="77" t="s">
        <v>64</v>
      </c>
      <c r="B1" s="2"/>
      <c r="C1" s="2"/>
      <c r="D1" s="2"/>
      <c r="E1" s="2"/>
      <c r="F1" s="52" t="s">
        <v>65</v>
      </c>
      <c r="G1" s="2"/>
      <c r="H1" s="2"/>
      <c r="I1" s="2"/>
      <c r="J1" s="53" t="s">
        <v>106</v>
      </c>
    </row>
    <row r="2" spans="1:10" s="11" customFormat="1" x14ac:dyDescent="0.2">
      <c r="A2" s="11" t="s">
        <v>66</v>
      </c>
      <c r="I2" s="20" t="s">
        <v>6</v>
      </c>
      <c r="J2" s="54">
        <v>2</v>
      </c>
    </row>
    <row r="3" spans="1:10" s="11" customFormat="1" ht="1.35" customHeight="1" x14ac:dyDescent="0.2">
      <c r="I3" s="20"/>
    </row>
    <row r="4" spans="1:10" s="11" customFormat="1" x14ac:dyDescent="0.2">
      <c r="A4" s="11" t="s">
        <v>67</v>
      </c>
      <c r="I4" s="20" t="s">
        <v>68</v>
      </c>
      <c r="J4" s="55"/>
    </row>
    <row r="5" spans="1:10" s="11" customFormat="1" ht="5.0999999999999996" customHeight="1" x14ac:dyDescent="0.2">
      <c r="I5" s="20"/>
      <c r="J5" s="11" t="s">
        <v>69</v>
      </c>
    </row>
    <row r="6" spans="1:10" s="11" customFormat="1" x14ac:dyDescent="0.2">
      <c r="A6" s="11" t="s">
        <v>70</v>
      </c>
      <c r="I6" s="20" t="s">
        <v>7</v>
      </c>
      <c r="J6" s="56"/>
    </row>
    <row r="7" spans="1:10" s="11" customFormat="1" ht="5.0999999999999996" customHeight="1" x14ac:dyDescent="0.2">
      <c r="I7" s="20"/>
    </row>
    <row r="8" spans="1:10" s="11" customFormat="1" x14ac:dyDescent="0.2">
      <c r="A8" s="11" t="s">
        <v>71</v>
      </c>
      <c r="I8" s="20"/>
      <c r="J8" s="27"/>
    </row>
    <row r="9" spans="1:10" s="11" customFormat="1" x14ac:dyDescent="0.2"/>
    <row r="10" spans="1:10" x14ac:dyDescent="0.2">
      <c r="A10" s="57" t="s">
        <v>72</v>
      </c>
      <c r="B10" s="57" t="s">
        <v>73</v>
      </c>
      <c r="C10" s="57" t="s">
        <v>74</v>
      </c>
      <c r="D10" s="57" t="s">
        <v>75</v>
      </c>
      <c r="E10" s="57" t="s">
        <v>76</v>
      </c>
      <c r="F10" s="57" t="s">
        <v>77</v>
      </c>
      <c r="G10" s="58" t="s">
        <v>78</v>
      </c>
      <c r="H10" s="58"/>
      <c r="I10" s="57" t="s">
        <v>79</v>
      </c>
      <c r="J10" s="57"/>
    </row>
    <row r="11" spans="1:10" s="8" customFormat="1" x14ac:dyDescent="0.2">
      <c r="A11" s="59" t="s">
        <v>80</v>
      </c>
      <c r="B11" s="59" t="s">
        <v>81</v>
      </c>
      <c r="C11" s="59" t="s">
        <v>82</v>
      </c>
      <c r="D11" s="60" t="s">
        <v>83</v>
      </c>
      <c r="E11" s="61"/>
      <c r="F11" s="59" t="s">
        <v>84</v>
      </c>
      <c r="G11" s="59" t="s">
        <v>85</v>
      </c>
      <c r="H11" s="59" t="s">
        <v>86</v>
      </c>
      <c r="I11" s="59" t="s">
        <v>87</v>
      </c>
      <c r="J11" s="57"/>
    </row>
    <row r="12" spans="1:10" s="8" customFormat="1" x14ac:dyDescent="0.2">
      <c r="A12" s="59" t="s">
        <v>88</v>
      </c>
      <c r="B12" s="62"/>
      <c r="C12" s="59" t="s">
        <v>89</v>
      </c>
      <c r="D12" s="63" t="s">
        <v>90</v>
      </c>
      <c r="E12" s="59" t="s">
        <v>91</v>
      </c>
      <c r="F12" s="59" t="s">
        <v>92</v>
      </c>
      <c r="G12" s="59" t="s">
        <v>93</v>
      </c>
      <c r="H12" s="59" t="s">
        <v>94</v>
      </c>
      <c r="I12" s="59" t="s">
        <v>95</v>
      </c>
      <c r="J12" s="57"/>
    </row>
    <row r="13" spans="1:10" s="8" customFormat="1" x14ac:dyDescent="0.2">
      <c r="A13" s="59"/>
      <c r="B13" s="59"/>
      <c r="C13" s="62"/>
      <c r="D13" s="59" t="s">
        <v>96</v>
      </c>
      <c r="E13" s="59"/>
      <c r="F13" s="59" t="s">
        <v>97</v>
      </c>
      <c r="G13" s="59" t="s">
        <v>98</v>
      </c>
      <c r="H13" s="59"/>
      <c r="I13" s="59" t="s">
        <v>99</v>
      </c>
      <c r="J13" s="57"/>
    </row>
    <row r="14" spans="1:10" s="8" customFormat="1" x14ac:dyDescent="0.2">
      <c r="A14" s="59"/>
      <c r="B14" s="59"/>
      <c r="C14" s="62"/>
      <c r="D14" s="42" t="s">
        <v>100</v>
      </c>
      <c r="E14" s="59"/>
      <c r="F14" s="59" t="s">
        <v>101</v>
      </c>
      <c r="G14" s="59" t="s">
        <v>102</v>
      </c>
      <c r="H14" s="59"/>
      <c r="I14" s="62"/>
      <c r="J14" s="57"/>
    </row>
    <row r="15" spans="1:10" s="8" customFormat="1" x14ac:dyDescent="0.2">
      <c r="A15" s="64"/>
      <c r="B15" s="65"/>
      <c r="C15" s="92"/>
      <c r="D15" s="65"/>
      <c r="E15" s="64"/>
      <c r="F15" s="65" t="s">
        <v>103</v>
      </c>
      <c r="G15" s="65" t="s">
        <v>104</v>
      </c>
      <c r="H15" s="65"/>
      <c r="I15" s="65"/>
      <c r="J15" s="57"/>
    </row>
    <row r="16" spans="1:10" s="11" customFormat="1" x14ac:dyDescent="0.2">
      <c r="A16" s="66"/>
      <c r="B16" s="67"/>
      <c r="C16" s="88"/>
      <c r="D16" s="68"/>
      <c r="E16" s="68"/>
      <c r="F16" s="79"/>
      <c r="G16" s="68">
        <f>D16+E16+F16</f>
        <v>0</v>
      </c>
      <c r="H16" s="74" t="e">
        <f>G16/C16</f>
        <v>#DIV/0!</v>
      </c>
      <c r="I16" s="73">
        <f>C16-G16</f>
        <v>0</v>
      </c>
      <c r="J16" s="57"/>
    </row>
    <row r="17" spans="1:10" s="11" customFormat="1" x14ac:dyDescent="0.2">
      <c r="A17" s="78"/>
      <c r="B17" s="80"/>
      <c r="C17" s="81"/>
      <c r="D17" s="81"/>
      <c r="E17" s="81"/>
      <c r="F17" s="81"/>
      <c r="G17" s="81"/>
      <c r="H17" s="82"/>
      <c r="I17" s="83">
        <f>SUM(C17-G17)</f>
        <v>0</v>
      </c>
      <c r="J17" s="57"/>
    </row>
    <row r="18" spans="1:10" s="11" customFormat="1" x14ac:dyDescent="0.2">
      <c r="A18" s="66"/>
      <c r="B18" s="67"/>
      <c r="C18" s="68"/>
      <c r="D18" s="68"/>
      <c r="E18" s="68"/>
      <c r="F18" s="68"/>
      <c r="G18" s="68">
        <f t="shared" ref="G18:G43" si="0">SUM(D18+E18+F18)</f>
        <v>0</v>
      </c>
      <c r="H18" s="71" t="e">
        <f t="shared" ref="H18:H44" si="1">G18/C18</f>
        <v>#DIV/0!</v>
      </c>
      <c r="I18" s="68">
        <f t="shared" ref="I18:I43" si="2">SUM(C18-G18)</f>
        <v>0</v>
      </c>
      <c r="J18" s="57"/>
    </row>
    <row r="19" spans="1:10" s="11" customFormat="1" x14ac:dyDescent="0.2">
      <c r="A19" s="78"/>
      <c r="B19" s="80"/>
      <c r="C19" s="81"/>
      <c r="D19" s="81"/>
      <c r="E19" s="81"/>
      <c r="F19" s="81"/>
      <c r="G19" s="81">
        <f t="shared" si="0"/>
        <v>0</v>
      </c>
      <c r="H19" s="84" t="e">
        <f t="shared" si="1"/>
        <v>#DIV/0!</v>
      </c>
      <c r="I19" s="81">
        <f t="shared" si="2"/>
        <v>0</v>
      </c>
      <c r="J19" s="57"/>
    </row>
    <row r="20" spans="1:10" s="11" customFormat="1" x14ac:dyDescent="0.2">
      <c r="A20" s="66"/>
      <c r="B20" s="85"/>
      <c r="C20" s="81"/>
      <c r="D20" s="81"/>
      <c r="E20" s="81"/>
      <c r="F20" s="81"/>
      <c r="G20" s="81">
        <f t="shared" ref="G20:G24" si="3">SUM(D20+E20+F20)</f>
        <v>0</v>
      </c>
      <c r="H20" s="84" t="e">
        <f t="shared" ref="H20:H23" si="4">G20/C20</f>
        <v>#DIV/0!</v>
      </c>
      <c r="I20" s="81">
        <f t="shared" ref="I20:I24" si="5">SUM(C20-G20)</f>
        <v>0</v>
      </c>
      <c r="J20" s="57"/>
    </row>
    <row r="21" spans="1:10" s="11" customFormat="1" x14ac:dyDescent="0.2">
      <c r="A21" s="66"/>
      <c r="B21" s="67"/>
      <c r="C21" s="68"/>
      <c r="D21" s="68"/>
      <c r="E21" s="68"/>
      <c r="F21" s="68"/>
      <c r="G21" s="68">
        <f t="shared" si="3"/>
        <v>0</v>
      </c>
      <c r="H21" s="71" t="e">
        <f t="shared" si="4"/>
        <v>#DIV/0!</v>
      </c>
      <c r="I21" s="68">
        <f t="shared" si="5"/>
        <v>0</v>
      </c>
      <c r="J21" s="57"/>
    </row>
    <row r="22" spans="1:10" s="11" customFormat="1" x14ac:dyDescent="0.2">
      <c r="A22" s="78"/>
      <c r="B22" s="80"/>
      <c r="C22" s="81"/>
      <c r="D22" s="81"/>
      <c r="E22" s="81"/>
      <c r="F22" s="81"/>
      <c r="G22" s="81">
        <f t="shared" si="3"/>
        <v>0</v>
      </c>
      <c r="H22" s="84" t="e">
        <f t="shared" si="4"/>
        <v>#DIV/0!</v>
      </c>
      <c r="I22" s="81">
        <f t="shared" si="5"/>
        <v>0</v>
      </c>
      <c r="J22" s="57"/>
    </row>
    <row r="23" spans="1:10" s="11" customFormat="1" x14ac:dyDescent="0.2">
      <c r="A23" s="66"/>
      <c r="B23" s="67"/>
      <c r="C23" s="68"/>
      <c r="D23" s="68"/>
      <c r="E23" s="68"/>
      <c r="F23" s="68"/>
      <c r="G23" s="68">
        <f t="shared" si="3"/>
        <v>0</v>
      </c>
      <c r="H23" s="71" t="e">
        <f t="shared" si="4"/>
        <v>#DIV/0!</v>
      </c>
      <c r="I23" s="68">
        <f t="shared" si="5"/>
        <v>0</v>
      </c>
      <c r="J23" s="57"/>
    </row>
    <row r="24" spans="1:10" s="11" customFormat="1" x14ac:dyDescent="0.2">
      <c r="A24" s="78"/>
      <c r="B24" s="87"/>
      <c r="C24" s="88"/>
      <c r="D24" s="88"/>
      <c r="E24" s="88"/>
      <c r="F24" s="88"/>
      <c r="G24" s="89">
        <f t="shared" si="3"/>
        <v>0</v>
      </c>
      <c r="H24" s="90">
        <v>1</v>
      </c>
      <c r="I24" s="86">
        <f t="shared" si="5"/>
        <v>0</v>
      </c>
      <c r="J24" s="57"/>
    </row>
    <row r="25" spans="1:10" s="11" customFormat="1" x14ac:dyDescent="0.2">
      <c r="A25" s="78"/>
      <c r="B25" s="80"/>
      <c r="C25" s="81"/>
      <c r="D25" s="81"/>
      <c r="E25" s="81"/>
      <c r="F25" s="81"/>
      <c r="G25" s="81"/>
      <c r="H25" s="84"/>
      <c r="I25" s="81">
        <f>SUM(C25-G25)</f>
        <v>0</v>
      </c>
      <c r="J25" s="57"/>
    </row>
    <row r="26" spans="1:10" s="11" customFormat="1" ht="12" customHeight="1" x14ac:dyDescent="0.2">
      <c r="A26" s="66"/>
      <c r="B26" s="67"/>
      <c r="C26" s="68"/>
      <c r="D26" s="68"/>
      <c r="E26" s="68"/>
      <c r="F26" s="68"/>
      <c r="G26" s="68">
        <f t="shared" si="0"/>
        <v>0</v>
      </c>
      <c r="H26" s="71" t="e">
        <f t="shared" si="1"/>
        <v>#DIV/0!</v>
      </c>
      <c r="I26" s="68">
        <f t="shared" si="2"/>
        <v>0</v>
      </c>
      <c r="J26" s="57"/>
    </row>
    <row r="27" spans="1:10" s="11" customFormat="1" x14ac:dyDescent="0.2">
      <c r="A27" s="78"/>
      <c r="B27" s="80"/>
      <c r="C27" s="81"/>
      <c r="D27" s="81"/>
      <c r="E27" s="81"/>
      <c r="F27" s="81"/>
      <c r="G27" s="81">
        <f t="shared" si="0"/>
        <v>0</v>
      </c>
      <c r="H27" s="84" t="e">
        <f t="shared" si="1"/>
        <v>#DIV/0!</v>
      </c>
      <c r="I27" s="81">
        <f t="shared" si="2"/>
        <v>0</v>
      </c>
      <c r="J27" s="57"/>
    </row>
    <row r="28" spans="1:10" s="11" customFormat="1" x14ac:dyDescent="0.2">
      <c r="A28" s="66"/>
      <c r="B28" s="67"/>
      <c r="C28" s="68"/>
      <c r="D28" s="68"/>
      <c r="E28" s="68"/>
      <c r="F28" s="68"/>
      <c r="G28" s="68">
        <f t="shared" si="0"/>
        <v>0</v>
      </c>
      <c r="H28" s="71" t="e">
        <f t="shared" si="1"/>
        <v>#DIV/0!</v>
      </c>
      <c r="I28" s="68">
        <f t="shared" si="2"/>
        <v>0</v>
      </c>
      <c r="J28" s="57"/>
    </row>
    <row r="29" spans="1:10" s="11" customFormat="1" x14ac:dyDescent="0.2">
      <c r="A29" s="78"/>
      <c r="B29" s="80"/>
      <c r="C29" s="81"/>
      <c r="D29" s="81"/>
      <c r="E29" s="81"/>
      <c r="F29" s="81"/>
      <c r="G29" s="81">
        <f t="shared" si="0"/>
        <v>0</v>
      </c>
      <c r="H29" s="84" t="e">
        <f t="shared" si="1"/>
        <v>#DIV/0!</v>
      </c>
      <c r="I29" s="81">
        <f t="shared" si="2"/>
        <v>0</v>
      </c>
      <c r="J29" s="57"/>
    </row>
    <row r="30" spans="1:10" s="11" customFormat="1" x14ac:dyDescent="0.2">
      <c r="A30" s="66"/>
      <c r="B30" s="67"/>
      <c r="C30" s="68"/>
      <c r="D30" s="68"/>
      <c r="E30" s="68"/>
      <c r="F30" s="68"/>
      <c r="G30" s="68">
        <f t="shared" si="0"/>
        <v>0</v>
      </c>
      <c r="H30" s="71" t="e">
        <f t="shared" si="1"/>
        <v>#DIV/0!</v>
      </c>
      <c r="I30" s="68">
        <f t="shared" si="2"/>
        <v>0</v>
      </c>
      <c r="J30" s="57"/>
    </row>
    <row r="31" spans="1:10" s="11" customFormat="1" x14ac:dyDescent="0.2">
      <c r="A31" s="78"/>
      <c r="B31" s="80"/>
      <c r="C31" s="81"/>
      <c r="D31" s="81"/>
      <c r="E31" s="81"/>
      <c r="F31" s="81"/>
      <c r="G31" s="81">
        <f t="shared" si="0"/>
        <v>0</v>
      </c>
      <c r="H31" s="84" t="e">
        <f t="shared" si="1"/>
        <v>#DIV/0!</v>
      </c>
      <c r="I31" s="81">
        <f t="shared" si="2"/>
        <v>0</v>
      </c>
      <c r="J31" s="57"/>
    </row>
    <row r="32" spans="1:10" s="11" customFormat="1" x14ac:dyDescent="0.2">
      <c r="A32" s="66"/>
      <c r="B32" s="67"/>
      <c r="C32" s="68"/>
      <c r="D32" s="68"/>
      <c r="E32" s="68"/>
      <c r="F32" s="68"/>
      <c r="G32" s="68">
        <f t="shared" si="0"/>
        <v>0</v>
      </c>
      <c r="H32" s="71" t="e">
        <f t="shared" si="1"/>
        <v>#DIV/0!</v>
      </c>
      <c r="I32" s="68">
        <f t="shared" si="2"/>
        <v>0</v>
      </c>
      <c r="J32" s="57"/>
    </row>
    <row r="33" spans="1:10" s="11" customFormat="1" x14ac:dyDescent="0.2">
      <c r="A33" s="78"/>
      <c r="B33" s="80"/>
      <c r="C33" s="81"/>
      <c r="D33" s="81"/>
      <c r="E33" s="81"/>
      <c r="F33" s="81"/>
      <c r="G33" s="81">
        <f t="shared" si="0"/>
        <v>0</v>
      </c>
      <c r="H33" s="84" t="e">
        <f t="shared" si="1"/>
        <v>#DIV/0!</v>
      </c>
      <c r="I33" s="81">
        <f t="shared" si="2"/>
        <v>0</v>
      </c>
      <c r="J33" s="57"/>
    </row>
    <row r="34" spans="1:10" s="11" customFormat="1" x14ac:dyDescent="0.2">
      <c r="A34" s="66"/>
      <c r="B34" s="67"/>
      <c r="C34" s="68"/>
      <c r="D34" s="68"/>
      <c r="E34" s="68"/>
      <c r="F34" s="68"/>
      <c r="G34" s="68">
        <f t="shared" si="0"/>
        <v>0</v>
      </c>
      <c r="H34" s="71" t="e">
        <f t="shared" si="1"/>
        <v>#DIV/0!</v>
      </c>
      <c r="I34" s="68">
        <f t="shared" si="2"/>
        <v>0</v>
      </c>
      <c r="J34" s="57"/>
    </row>
    <row r="35" spans="1:10" s="11" customFormat="1" x14ac:dyDescent="0.2">
      <c r="A35" s="78"/>
      <c r="B35" s="80"/>
      <c r="C35" s="81"/>
      <c r="D35" s="81"/>
      <c r="E35" s="81"/>
      <c r="F35" s="81"/>
      <c r="G35" s="81">
        <f t="shared" si="0"/>
        <v>0</v>
      </c>
      <c r="H35" s="84" t="e">
        <f t="shared" si="1"/>
        <v>#DIV/0!</v>
      </c>
      <c r="I35" s="81">
        <f t="shared" si="2"/>
        <v>0</v>
      </c>
      <c r="J35" s="57"/>
    </row>
    <row r="36" spans="1:10" s="11" customFormat="1" x14ac:dyDescent="0.2">
      <c r="A36" s="78"/>
      <c r="B36" s="93"/>
      <c r="C36" s="68"/>
      <c r="D36" s="68"/>
      <c r="E36" s="68"/>
      <c r="F36" s="68"/>
      <c r="G36" s="68">
        <f>SUM(D36+E36+F36)</f>
        <v>0</v>
      </c>
      <c r="H36" s="71" t="e">
        <f t="shared" si="1"/>
        <v>#DIV/0!</v>
      </c>
      <c r="I36" s="68">
        <f>SUM(C36-G36)</f>
        <v>0</v>
      </c>
      <c r="J36" s="57"/>
    </row>
    <row r="37" spans="1:10" s="11" customFormat="1" x14ac:dyDescent="0.2">
      <c r="A37" s="66"/>
      <c r="B37" s="67"/>
      <c r="C37" s="68"/>
      <c r="D37" s="68"/>
      <c r="E37" s="68"/>
      <c r="F37" s="68"/>
      <c r="G37" s="68">
        <f t="shared" si="0"/>
        <v>0</v>
      </c>
      <c r="H37" s="71" t="e">
        <f t="shared" si="1"/>
        <v>#DIV/0!</v>
      </c>
      <c r="I37" s="68">
        <f t="shared" si="2"/>
        <v>0</v>
      </c>
      <c r="J37" s="57"/>
    </row>
    <row r="38" spans="1:10" s="11" customFormat="1" x14ac:dyDescent="0.2">
      <c r="A38" s="78"/>
      <c r="B38" s="80"/>
      <c r="C38" s="81"/>
      <c r="D38" s="81"/>
      <c r="E38" s="81"/>
      <c r="F38" s="81"/>
      <c r="G38" s="81">
        <f t="shared" si="0"/>
        <v>0</v>
      </c>
      <c r="H38" s="84" t="e">
        <f t="shared" si="1"/>
        <v>#DIV/0!</v>
      </c>
      <c r="I38" s="81">
        <f t="shared" si="2"/>
        <v>0</v>
      </c>
      <c r="J38" s="57"/>
    </row>
    <row r="39" spans="1:10" s="11" customFormat="1" x14ac:dyDescent="0.2">
      <c r="A39" s="66"/>
      <c r="B39" s="67"/>
      <c r="C39" s="68"/>
      <c r="D39" s="68"/>
      <c r="E39" s="68"/>
      <c r="F39" s="68"/>
      <c r="G39" s="68">
        <f t="shared" si="0"/>
        <v>0</v>
      </c>
      <c r="H39" s="71" t="e">
        <f t="shared" si="1"/>
        <v>#DIV/0!</v>
      </c>
      <c r="I39" s="68">
        <f t="shared" si="2"/>
        <v>0</v>
      </c>
      <c r="J39" s="57"/>
    </row>
    <row r="40" spans="1:10" s="11" customFormat="1" x14ac:dyDescent="0.2">
      <c r="A40" s="78"/>
      <c r="B40" s="80"/>
      <c r="C40" s="81"/>
      <c r="D40" s="81"/>
      <c r="E40" s="81"/>
      <c r="F40" s="81"/>
      <c r="G40" s="81">
        <f t="shared" si="0"/>
        <v>0</v>
      </c>
      <c r="H40" s="84" t="e">
        <f t="shared" si="1"/>
        <v>#DIV/0!</v>
      </c>
      <c r="I40" s="81">
        <f t="shared" si="2"/>
        <v>0</v>
      </c>
      <c r="J40" s="57"/>
    </row>
    <row r="41" spans="1:10" s="11" customFormat="1" x14ac:dyDescent="0.2">
      <c r="A41" s="66"/>
      <c r="B41" s="67"/>
      <c r="C41" s="68"/>
      <c r="D41" s="68"/>
      <c r="E41" s="68"/>
      <c r="F41" s="68"/>
      <c r="G41" s="68">
        <f t="shared" si="0"/>
        <v>0</v>
      </c>
      <c r="H41" s="71" t="e">
        <f t="shared" si="1"/>
        <v>#DIV/0!</v>
      </c>
      <c r="I41" s="68">
        <f t="shared" si="2"/>
        <v>0</v>
      </c>
      <c r="J41" s="57"/>
    </row>
    <row r="42" spans="1:10" s="11" customFormat="1" x14ac:dyDescent="0.2">
      <c r="A42" s="78"/>
      <c r="B42" s="93"/>
      <c r="C42" s="68"/>
      <c r="D42" s="68"/>
      <c r="E42" s="68"/>
      <c r="F42" s="68"/>
      <c r="G42" s="68"/>
      <c r="H42" s="71"/>
      <c r="I42" s="68">
        <f>SUM(C42-G42)</f>
        <v>0</v>
      </c>
      <c r="J42" s="57"/>
    </row>
    <row r="43" spans="1:10" s="11" customFormat="1" x14ac:dyDescent="0.2">
      <c r="A43" s="78"/>
      <c r="B43" s="80"/>
      <c r="C43" s="81"/>
      <c r="D43" s="81"/>
      <c r="E43" s="81"/>
      <c r="F43" s="81"/>
      <c r="G43" s="81">
        <f t="shared" si="0"/>
        <v>0</v>
      </c>
      <c r="H43" s="84" t="e">
        <f t="shared" si="1"/>
        <v>#DIV/0!</v>
      </c>
      <c r="I43" s="81">
        <f t="shared" si="2"/>
        <v>0</v>
      </c>
      <c r="J43" s="57"/>
    </row>
    <row r="44" spans="1:10" s="11" customFormat="1" x14ac:dyDescent="0.2">
      <c r="A44" s="78"/>
      <c r="B44" s="80"/>
      <c r="C44" s="81"/>
      <c r="D44" s="81"/>
      <c r="E44" s="81"/>
      <c r="F44" s="81"/>
      <c r="G44" s="81">
        <f>SUM(D44+E44+F44)</f>
        <v>0</v>
      </c>
      <c r="H44" s="84" t="e">
        <f t="shared" si="1"/>
        <v>#DIV/0!</v>
      </c>
      <c r="I44" s="91">
        <f t="shared" ref="I44:I51" si="6">SUM(C44-G44)</f>
        <v>0</v>
      </c>
      <c r="J44" s="57"/>
    </row>
    <row r="45" spans="1:10" s="11" customFormat="1" x14ac:dyDescent="0.2">
      <c r="A45" s="66"/>
      <c r="B45" s="67"/>
      <c r="C45" s="68"/>
      <c r="D45" s="68"/>
      <c r="E45" s="68"/>
      <c r="F45" s="68"/>
      <c r="G45" s="68"/>
      <c r="H45" s="71"/>
      <c r="I45" s="68">
        <f t="shared" si="6"/>
        <v>0</v>
      </c>
      <c r="J45" s="57"/>
    </row>
    <row r="46" spans="1:10" s="11" customFormat="1" x14ac:dyDescent="0.2">
      <c r="A46" s="78"/>
      <c r="B46" s="80"/>
      <c r="C46" s="81"/>
      <c r="D46" s="81"/>
      <c r="E46" s="81"/>
      <c r="F46" s="81"/>
      <c r="G46" s="81"/>
      <c r="H46" s="84"/>
      <c r="I46" s="81">
        <f t="shared" si="6"/>
        <v>0</v>
      </c>
      <c r="J46" s="57"/>
    </row>
    <row r="47" spans="1:10" s="11" customFormat="1" x14ac:dyDescent="0.2">
      <c r="A47" s="78"/>
      <c r="B47" s="80"/>
      <c r="C47" s="81"/>
      <c r="D47" s="81"/>
      <c r="E47" s="81"/>
      <c r="F47" s="81"/>
      <c r="G47" s="81">
        <f>SUM(D47+E47+F47)</f>
        <v>0</v>
      </c>
      <c r="H47" s="84" t="e">
        <f>G47/C47</f>
        <v>#DIV/0!</v>
      </c>
      <c r="I47" s="81">
        <f t="shared" si="6"/>
        <v>0</v>
      </c>
      <c r="J47" s="57"/>
    </row>
    <row r="48" spans="1:10" s="11" customFormat="1" x14ac:dyDescent="0.2">
      <c r="A48" s="66"/>
      <c r="B48" s="67"/>
      <c r="C48" s="68"/>
      <c r="D48" s="68"/>
      <c r="E48" s="68"/>
      <c r="F48" s="68"/>
      <c r="G48" s="68"/>
      <c r="H48" s="71"/>
      <c r="I48" s="68">
        <f t="shared" si="6"/>
        <v>0</v>
      </c>
      <c r="J48" s="57"/>
    </row>
    <row r="49" spans="1:10" s="11" customFormat="1" x14ac:dyDescent="0.2">
      <c r="A49" s="78"/>
      <c r="B49" s="80"/>
      <c r="C49" s="81"/>
      <c r="D49" s="81"/>
      <c r="E49" s="81"/>
      <c r="F49" s="81"/>
      <c r="G49" s="81"/>
      <c r="H49" s="84"/>
      <c r="I49" s="81">
        <f t="shared" si="6"/>
        <v>0</v>
      </c>
      <c r="J49" s="57"/>
    </row>
    <row r="50" spans="1:10" s="11" customFormat="1" x14ac:dyDescent="0.2">
      <c r="A50" s="78"/>
      <c r="B50" s="80"/>
      <c r="C50" s="81"/>
      <c r="D50" s="81"/>
      <c r="E50" s="81"/>
      <c r="F50" s="81"/>
      <c r="G50" s="81"/>
      <c r="H50" s="84"/>
      <c r="I50" s="81">
        <f t="shared" si="6"/>
        <v>0</v>
      </c>
      <c r="J50" s="57"/>
    </row>
    <row r="51" spans="1:10" s="11" customFormat="1" x14ac:dyDescent="0.2">
      <c r="A51" s="66"/>
      <c r="B51" s="67"/>
      <c r="C51" s="68"/>
      <c r="D51" s="68"/>
      <c r="E51" s="68"/>
      <c r="F51" s="68"/>
      <c r="G51" s="68"/>
      <c r="H51" s="71"/>
      <c r="I51" s="68">
        <f t="shared" si="6"/>
        <v>0</v>
      </c>
      <c r="J51" s="57"/>
    </row>
    <row r="52" spans="1:10" s="11" customFormat="1" x14ac:dyDescent="0.2">
      <c r="A52" s="66"/>
      <c r="B52" s="67"/>
      <c r="C52" s="68"/>
      <c r="D52" s="68"/>
      <c r="E52" s="68"/>
      <c r="F52" s="68"/>
      <c r="G52" s="68"/>
      <c r="H52" s="71"/>
      <c r="I52" s="68"/>
      <c r="J52" s="57"/>
    </row>
    <row r="53" spans="1:10" s="11" customFormat="1" x14ac:dyDescent="0.2">
      <c r="A53" s="78"/>
      <c r="B53" s="80"/>
      <c r="C53" s="81"/>
      <c r="D53" s="81"/>
      <c r="E53" s="81"/>
      <c r="F53" s="81"/>
      <c r="G53" s="81"/>
      <c r="H53" s="84"/>
      <c r="I53" s="81"/>
      <c r="J53" s="57"/>
    </row>
    <row r="54" spans="1:10" s="11" customFormat="1" x14ac:dyDescent="0.2">
      <c r="A54" s="78"/>
      <c r="B54" s="80"/>
      <c r="C54" s="81"/>
      <c r="D54" s="81"/>
      <c r="E54" s="81"/>
      <c r="F54" s="81"/>
      <c r="G54" s="81"/>
      <c r="H54" s="84"/>
      <c r="I54" s="81">
        <f>SUM(C54-G54)</f>
        <v>0</v>
      </c>
      <c r="J54" s="57"/>
    </row>
    <row r="55" spans="1:10" s="11" customFormat="1" x14ac:dyDescent="0.2">
      <c r="A55" s="66"/>
      <c r="B55" s="67"/>
      <c r="C55" s="68"/>
      <c r="D55" s="68"/>
      <c r="E55" s="68"/>
      <c r="F55" s="68"/>
      <c r="G55" s="68">
        <f>SUM(D55+E55+F55)</f>
        <v>0</v>
      </c>
      <c r="H55" s="71"/>
      <c r="I55" s="68">
        <f>SUM(C55-G55)</f>
        <v>0</v>
      </c>
      <c r="J55" s="57"/>
    </row>
    <row r="56" spans="1:10" s="11" customFormat="1" x14ac:dyDescent="0.2">
      <c r="A56" s="78"/>
      <c r="B56" s="80"/>
      <c r="C56" s="81"/>
      <c r="D56" s="81"/>
      <c r="E56" s="81"/>
      <c r="F56" s="81"/>
      <c r="G56" s="81"/>
      <c r="H56" s="84"/>
      <c r="I56" s="81"/>
      <c r="J56" s="57"/>
    </row>
    <row r="57" spans="1:10" s="11" customFormat="1" x14ac:dyDescent="0.2">
      <c r="A57" s="66"/>
      <c r="B57" s="67"/>
      <c r="C57" s="68"/>
      <c r="D57" s="68"/>
      <c r="E57" s="68"/>
      <c r="F57" s="68"/>
      <c r="G57" s="68"/>
      <c r="H57" s="71"/>
      <c r="I57" s="68">
        <f>SUM(C57-G57)</f>
        <v>0</v>
      </c>
      <c r="J57" s="57"/>
    </row>
    <row r="58" spans="1:10" s="11" customFormat="1" x14ac:dyDescent="0.2">
      <c r="A58" s="78"/>
      <c r="B58" s="80"/>
      <c r="C58" s="81"/>
      <c r="D58" s="81"/>
      <c r="E58" s="81"/>
      <c r="F58" s="81"/>
      <c r="G58" s="81">
        <f>SUM(D58+E58+F58)</f>
        <v>0</v>
      </c>
      <c r="H58" s="84"/>
      <c r="I58" s="81">
        <f>SUM(C58-G58)</f>
        <v>0</v>
      </c>
      <c r="J58" s="57"/>
    </row>
    <row r="59" spans="1:10" s="11" customFormat="1" x14ac:dyDescent="0.2">
      <c r="A59" s="66"/>
      <c r="B59" s="67"/>
      <c r="C59" s="68"/>
      <c r="D59" s="68"/>
      <c r="E59" s="68"/>
      <c r="F59" s="68"/>
      <c r="G59" s="68"/>
      <c r="H59" s="71"/>
      <c r="I59" s="68">
        <f>SUM(C59-G59)</f>
        <v>0</v>
      </c>
      <c r="J59" s="57"/>
    </row>
    <row r="60" spans="1:10" s="15" customFormat="1" ht="22.35" customHeight="1" thickBot="1" x14ac:dyDescent="0.25">
      <c r="A60" s="69"/>
      <c r="B60" s="69" t="s">
        <v>105</v>
      </c>
      <c r="C60" s="70">
        <f>SUM(C16:C59)</f>
        <v>0</v>
      </c>
      <c r="D60" s="70">
        <f>SUM(D16:D59)</f>
        <v>0</v>
      </c>
      <c r="E60" s="70">
        <f>SUM(E16:E59)</f>
        <v>0</v>
      </c>
      <c r="F60" s="72">
        <f>SUM(F16:F43)</f>
        <v>0</v>
      </c>
      <c r="G60" s="70">
        <f>SUM(G16:G44)</f>
        <v>0</v>
      </c>
      <c r="H60" s="69"/>
      <c r="I60" s="70">
        <f>SUM(I16:I59)</f>
        <v>0</v>
      </c>
      <c r="J60" s="57"/>
    </row>
  </sheetData>
  <phoneticPr fontId="0" type="noConversion"/>
  <pageMargins left="0.75" right="0.75" top="0.25" bottom="0.25" header="0.5" footer="0.5"/>
  <pageSetup scale="93" orientation="landscape" horizontalDpi="4294967293" verticalDpi="0" r:id="rId1"/>
  <headerFooter alignWithMargins="0"/>
  <ignoredErrors>
    <ignoredError sqref="H1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PAGE 2</vt:lpstr>
      <vt:lpstr>'PAGE 2'!Print_Titles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Tristar</dc:creator>
  <cp:lastModifiedBy>Jay Cordaro</cp:lastModifiedBy>
  <cp:lastPrinted>2012-04-16T15:15:38Z</cp:lastPrinted>
  <dcterms:created xsi:type="dcterms:W3CDTF">2001-01-24T13:22:11Z</dcterms:created>
  <dcterms:modified xsi:type="dcterms:W3CDTF">2026-05-20T14:22:39Z</dcterms:modified>
</cp:coreProperties>
</file>