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 Ratios and Funding" sheetId="1" r:id="rId5"/>
    <sheet state="visible" name="Soft Cost" sheetId="2" r:id="rId6"/>
    <sheet state="visible" name="Total Expenses" sheetId="3" r:id="rId7"/>
    <sheet state="visible" name="Unit Sold" sheetId="4" r:id="rId8"/>
    <sheet state="visible" name="Labour" sheetId="5" r:id="rId9"/>
    <sheet state="visible" name="Construction Expenses" sheetId="6" r:id="rId10"/>
    <sheet state="visible" name="Accounting &amp; Legal" sheetId="7" r:id="rId11"/>
    <sheet state="visible" name="Bank fees" sheetId="8" r:id="rId12"/>
    <sheet state="visible" name="Land acquisition" sheetId="9" r:id="rId13"/>
    <sheet state="visible" name="Muncipality Expenses" sheetId="10" r:id="rId14"/>
    <sheet state="visible" name="Loan Payment" sheetId="11" r:id="rId15"/>
    <sheet state="visible" name="Misc.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9">
      <text>
        <t xml:space="preserve">Paid for Amex by jsq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tc={0d5b0f25-09e8-4ff1-b3db-5cbe24de47c2}</author>
  </authors>
  <commentList>
    <comment authorId="0" xr:uid="{0d5b0f25-09e8-4ff1-b3db-5cbe24de47c2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Marketing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tc={07573572-9ca3-4168-8569-63127dc853c7}</author>
    <author>tc={0dcd5f9c-88d9-4abe-84be-02cbfc24b119}</author>
    <author>tc={1bec3015-de5f-40d6-92d9-4b6c470750b5}</author>
    <author>tc={76580288-caa9-4b05-afaa-6441a001499c}</author>
    <author>tc={d801cfcd-c546-40b9-bec1-0940122019cc}</author>
    <author>tc={ea593e31-67e3-4dcc-99a0-cd222c7e4bec}</author>
  </authors>
  <commentList>
    <comment authorId="0" ref="C35">
      <text>
        <t xml:space="preserve">No Packing Sings</t>
      </text>
    </comment>
    <comment authorId="0" ref="C82">
      <text>
        <t xml:space="preserve">Amex Membership fee
</t>
      </text>
    </comment>
    <comment authorId="0" ref="C93">
      <text>
        <t xml:space="preserve">Spake Tape</t>
      </text>
    </comment>
    <comment authorId="0" ref="C125">
      <text>
        <t xml:space="preserve">Solder First Payment
</t>
      </text>
    </comment>
    <comment authorId="0" ref="C105">
      <text>
        <t xml:space="preserve">Service Electric
</t>
      </text>
    </comment>
    <comment authorId="0" ref="C53">
      <text>
        <t xml:space="preserve">Cabinet</t>
      </text>
    </comment>
    <comment authorId="0" ref="C133">
      <text>
        <t xml:space="preserve">Final Railing</t>
      </text>
    </comment>
    <comment authorId="1" xr:uid="{07573572-9ca3-4168-8569-63127dc853c7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Packing Signs
</t>
      </text>
    </comment>
    <comment authorId="2" xr:uid="{0dcd5f9c-88d9-4abe-84be-02cbfc24b119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JSQ Amex
</t>
      </text>
    </comment>
    <comment authorId="3" xr:uid="{1bec3015-de5f-40d6-92d9-4b6c470750b5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Packing signs
</t>
      </text>
    </comment>
    <comment authorId="4" xr:uid="{76580288-caa9-4b05-afaa-6441a001499c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Dirth Removal
</t>
      </text>
    </comment>
    <comment authorId="5" xr:uid="{d801cfcd-c546-40b9-bec1-0940122019cc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Packing Singn
</t>
      </text>
    </comment>
    <comment authorId="6" xr:uid="{ea593e31-67e3-4dcc-99a0-cd222c7e4bec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water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New Home Builder Registration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tc={f65e9154-e2ad-4dcc-ad29-2f0d172722a4}</author>
  </authors>
  <commentList>
    <comment authorId="0" xr:uid="{f65e9154-e2ad-4dcc-ad29-2f0d172722a4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Donation
</t>
      </text>
    </comment>
  </commentList>
</comments>
</file>

<file path=xl/sharedStrings.xml><?xml version="1.0" encoding="utf-8"?>
<sst xmlns="http://schemas.openxmlformats.org/spreadsheetml/2006/main" count="1419" uniqueCount="603">
  <si>
    <t>Builder Funding Closing Amount</t>
  </si>
  <si>
    <t>Kirit</t>
  </si>
  <si>
    <t xml:space="preserve">Date </t>
  </si>
  <si>
    <t>Mode</t>
  </si>
  <si>
    <t>Description</t>
  </si>
  <si>
    <t>Amount</t>
  </si>
  <si>
    <t>Total Wine 306</t>
  </si>
  <si>
    <t xml:space="preserve">Total </t>
  </si>
  <si>
    <t>SR. NO</t>
  </si>
  <si>
    <t>Type</t>
  </si>
  <si>
    <t>Nilesh</t>
  </si>
  <si>
    <t>Construction Cost</t>
  </si>
  <si>
    <t>Kunal</t>
  </si>
  <si>
    <t>Imperial 46 Restaurant</t>
  </si>
  <si>
    <t>Saj Restaurant Paterson</t>
  </si>
  <si>
    <t>Swekit</t>
  </si>
  <si>
    <t>Maulik</t>
  </si>
  <si>
    <t>Date</t>
  </si>
  <si>
    <t>Bank fees</t>
  </si>
  <si>
    <t>Unit #</t>
  </si>
  <si>
    <t>Sell Price</t>
  </si>
  <si>
    <t>Closing Cost</t>
  </si>
  <si>
    <t>Loan Pay off</t>
  </si>
  <si>
    <t>Deposit</t>
  </si>
  <si>
    <t>Net Distribution</t>
  </si>
  <si>
    <t>Muncipality</t>
  </si>
  <si>
    <t xml:space="preserve">Funding </t>
  </si>
  <si>
    <t>Total</t>
  </si>
  <si>
    <t>Land Acquisition</t>
  </si>
  <si>
    <t>Loan payments</t>
  </si>
  <si>
    <t xml:space="preserve">Amount Deposited </t>
  </si>
  <si>
    <t>Miscellaneous</t>
  </si>
  <si>
    <t>Oak Tree</t>
  </si>
  <si>
    <t>JSQ</t>
  </si>
  <si>
    <t>Labour</t>
  </si>
  <si>
    <t>Soft Cost</t>
  </si>
  <si>
    <t>Accounting &amp; Legal Fee</t>
  </si>
  <si>
    <t>*</t>
  </si>
  <si>
    <t>Total Cost of Project</t>
  </si>
  <si>
    <t xml:space="preserve"> </t>
  </si>
  <si>
    <t xml:space="preserve">2025 Total </t>
  </si>
  <si>
    <t>Check 1241</t>
  </si>
  <si>
    <t>Nilson Mocalos</t>
  </si>
  <si>
    <t>Check 1243</t>
  </si>
  <si>
    <t>Milton son</t>
  </si>
  <si>
    <t>Check 1054</t>
  </si>
  <si>
    <t>Check 1059</t>
  </si>
  <si>
    <t>Check 1056</t>
  </si>
  <si>
    <t>Carlos Chipix</t>
  </si>
  <si>
    <t>Check 1057</t>
  </si>
  <si>
    <t>Javier Alejandro Omaza</t>
  </si>
  <si>
    <t>Required</t>
  </si>
  <si>
    <t>Check 1058</t>
  </si>
  <si>
    <t>Jorbe Pervalo</t>
  </si>
  <si>
    <t>Check 1061</t>
  </si>
  <si>
    <t>Juan Minin</t>
  </si>
  <si>
    <t xml:space="preserve">                   '</t>
  </si>
  <si>
    <t xml:space="preserve">   </t>
  </si>
  <si>
    <t>Check 1060</t>
  </si>
  <si>
    <t>Frank Verbout</t>
  </si>
  <si>
    <t>Check 1055</t>
  </si>
  <si>
    <t>Jose Lopez</t>
  </si>
  <si>
    <t>Check 1004</t>
  </si>
  <si>
    <t>Check 1010</t>
  </si>
  <si>
    <t>Check 1012</t>
  </si>
  <si>
    <t>Check 1011</t>
  </si>
  <si>
    <t>Check 1014</t>
  </si>
  <si>
    <t>Crisanto Cum Plato</t>
  </si>
  <si>
    <t>Check 1015</t>
  </si>
  <si>
    <t>Check 1013</t>
  </si>
  <si>
    <t>Luis Angle</t>
  </si>
  <si>
    <t>Check 1005</t>
  </si>
  <si>
    <t>Check 1067</t>
  </si>
  <si>
    <t>Check 1068</t>
  </si>
  <si>
    <t>Darwin Cutzal</t>
  </si>
  <si>
    <t>Check 1064</t>
  </si>
  <si>
    <t>Check 1076</t>
  </si>
  <si>
    <t>Check 1002</t>
  </si>
  <si>
    <t>Akanksha Shah</t>
  </si>
  <si>
    <t>Check 1071</t>
  </si>
  <si>
    <t>Check 1072</t>
  </si>
  <si>
    <t>Check 1073</t>
  </si>
  <si>
    <t>Check 1075</t>
  </si>
  <si>
    <t>Check 1077</t>
  </si>
  <si>
    <t>Check 1078</t>
  </si>
  <si>
    <t>Check 1079</t>
  </si>
  <si>
    <t>Carlos Minin</t>
  </si>
  <si>
    <t>Check 1074</t>
  </si>
  <si>
    <t>Check 1082</t>
  </si>
  <si>
    <t>Check 1245</t>
  </si>
  <si>
    <t>Check 1083</t>
  </si>
  <si>
    <t>Carlos Cutzal</t>
  </si>
  <si>
    <t>Check 1084</t>
  </si>
  <si>
    <t>Check 1087</t>
  </si>
  <si>
    <t>Check 1244</t>
  </si>
  <si>
    <t>Check 1085</t>
  </si>
  <si>
    <t>Check 1086</t>
  </si>
  <si>
    <t>Check 1036</t>
  </si>
  <si>
    <t>Balloon N Ribbons</t>
  </si>
  <si>
    <t>Check 1008</t>
  </si>
  <si>
    <t>Check 1016</t>
  </si>
  <si>
    <t>Milton Son</t>
  </si>
  <si>
    <t>Check 1007</t>
  </si>
  <si>
    <t>Check 1017</t>
  </si>
  <si>
    <t>Check 1018</t>
  </si>
  <si>
    <t>Rene Cutzal</t>
  </si>
  <si>
    <t>d</t>
  </si>
  <si>
    <t>Check 1042</t>
  </si>
  <si>
    <t>Check 1041</t>
  </si>
  <si>
    <t>Carlos Cipix</t>
  </si>
  <si>
    <t>Check 1009</t>
  </si>
  <si>
    <t>Check 1045</t>
  </si>
  <si>
    <t>Check 1047</t>
  </si>
  <si>
    <t>Check 1044</t>
  </si>
  <si>
    <t>Check 1050</t>
  </si>
  <si>
    <t>Check 1090</t>
  </si>
  <si>
    <t>Christian Ponte</t>
  </si>
  <si>
    <t>Check 1091</t>
  </si>
  <si>
    <t>Edwin Espana</t>
  </si>
  <si>
    <t>Check 1088</t>
  </si>
  <si>
    <t>Check 1049</t>
  </si>
  <si>
    <t>Jose Gonzales</t>
  </si>
  <si>
    <t>Check 61089</t>
  </si>
  <si>
    <t>Check 1097</t>
  </si>
  <si>
    <t>Check 1096</t>
  </si>
  <si>
    <t>Check 1095</t>
  </si>
  <si>
    <t>Check 1103</t>
  </si>
  <si>
    <t>Check 1105</t>
  </si>
  <si>
    <t>Check 1102</t>
  </si>
  <si>
    <t>Araldo Espana</t>
  </si>
  <si>
    <t>Check 1106</t>
  </si>
  <si>
    <t>Check 1108</t>
  </si>
  <si>
    <t>Check 1100</t>
  </si>
  <si>
    <t>Ezequiel Ordonez</t>
  </si>
  <si>
    <t>Check 1101</t>
  </si>
  <si>
    <t>Victor Cutzal</t>
  </si>
  <si>
    <t>Check 1107</t>
  </si>
  <si>
    <t>Check 1099</t>
  </si>
  <si>
    <t>Jonathan Cutzal</t>
  </si>
  <si>
    <t>Check 1098</t>
  </si>
  <si>
    <t>Check 1104</t>
  </si>
  <si>
    <t>Check 1109</t>
  </si>
  <si>
    <t>Check 1111</t>
  </si>
  <si>
    <t>Check 1112</t>
  </si>
  <si>
    <t>Check 1114</t>
  </si>
  <si>
    <t>Christian Holsuin</t>
  </si>
  <si>
    <t>Check 1116</t>
  </si>
  <si>
    <t>Check 1113</t>
  </si>
  <si>
    <t>Jose Espana</t>
  </si>
  <si>
    <t>Check 1115</t>
  </si>
  <si>
    <t>Check 1117</t>
  </si>
  <si>
    <t>Jorse Pervalo</t>
  </si>
  <si>
    <t>Check 1122</t>
  </si>
  <si>
    <t>Check 1124</t>
  </si>
  <si>
    <t>Check 1126</t>
  </si>
  <si>
    <t>Check 1123</t>
  </si>
  <si>
    <t>Check 1125</t>
  </si>
  <si>
    <t>Esequiel Ordonez</t>
  </si>
  <si>
    <t>Check 1128</t>
  </si>
  <si>
    <t>Check 1130</t>
  </si>
  <si>
    <t>Check 1129</t>
  </si>
  <si>
    <t>Check 1133</t>
  </si>
  <si>
    <t>Check 1121</t>
  </si>
  <si>
    <t>Check 1131</t>
  </si>
  <si>
    <t>Check 1136</t>
  </si>
  <si>
    <t>Christian Gonzaloz</t>
  </si>
  <si>
    <t>Check 1135</t>
  </si>
  <si>
    <t>Check 1138</t>
  </si>
  <si>
    <t>Check 1139</t>
  </si>
  <si>
    <t>Check 1137</t>
  </si>
  <si>
    <t>Check1033</t>
  </si>
  <si>
    <t>Check 1142</t>
  </si>
  <si>
    <t>Check 1144</t>
  </si>
  <si>
    <t>Check 1146</t>
  </si>
  <si>
    <t>Check 1141</t>
  </si>
  <si>
    <t>Check 1143</t>
  </si>
  <si>
    <t>Check 1145</t>
  </si>
  <si>
    <t>Camilo Tocachi</t>
  </si>
  <si>
    <t>Check 1154</t>
  </si>
  <si>
    <t>Check 1157</t>
  </si>
  <si>
    <t>Check 1158</t>
  </si>
  <si>
    <t>Check 1152</t>
  </si>
  <si>
    <t>Check 1156</t>
  </si>
  <si>
    <t>Check 1155</t>
  </si>
  <si>
    <t>Check 1167</t>
  </si>
  <si>
    <t>Check 1166</t>
  </si>
  <si>
    <t>Check 1168</t>
  </si>
  <si>
    <t>Check 1170</t>
  </si>
  <si>
    <t>Check 1174</t>
  </si>
  <si>
    <t>Richard Wadsworth</t>
  </si>
  <si>
    <t>Check 1173</t>
  </si>
  <si>
    <t>Check 1165</t>
  </si>
  <si>
    <t>Check 1169</t>
  </si>
  <si>
    <t>Check 1150</t>
  </si>
  <si>
    <t>Check 1171</t>
  </si>
  <si>
    <t>Check 1172</t>
  </si>
  <si>
    <t>Cristian Holbuin</t>
  </si>
  <si>
    <t>Check 1175</t>
  </si>
  <si>
    <t>Zelle</t>
  </si>
  <si>
    <t>Cleaning</t>
  </si>
  <si>
    <t>Check 1178</t>
  </si>
  <si>
    <t>Check 1180</t>
  </si>
  <si>
    <t>2025 Total</t>
  </si>
  <si>
    <t>Check 1181</t>
  </si>
  <si>
    <t>Check 1179</t>
  </si>
  <si>
    <t>Check 1182</t>
  </si>
  <si>
    <t>Check 1184</t>
  </si>
  <si>
    <t>Check 1183</t>
  </si>
  <si>
    <t>Christian Holbuin</t>
  </si>
  <si>
    <t>Check 1192</t>
  </si>
  <si>
    <t>Check 1195</t>
  </si>
  <si>
    <t>Check 1186</t>
  </si>
  <si>
    <t>Check 1189</t>
  </si>
  <si>
    <t>Check1001</t>
  </si>
  <si>
    <t>Check 1191</t>
  </si>
  <si>
    <t>Luis Rimacachin</t>
  </si>
  <si>
    <t>Ami Shah CPA</t>
  </si>
  <si>
    <t>Check 1190</t>
  </si>
  <si>
    <t>Wire</t>
  </si>
  <si>
    <t>Check 1193</t>
  </si>
  <si>
    <t>Check 1194</t>
  </si>
  <si>
    <t>Check 1038</t>
  </si>
  <si>
    <t>Check 1153</t>
  </si>
  <si>
    <t>Check 1249</t>
  </si>
  <si>
    <t>Check 1251</t>
  </si>
  <si>
    <t>Credit</t>
  </si>
  <si>
    <t>Return of Check</t>
  </si>
  <si>
    <t>Check 1253</t>
  </si>
  <si>
    <t>Debit</t>
  </si>
  <si>
    <t>Check 1248</t>
  </si>
  <si>
    <t>Check 1250</t>
  </si>
  <si>
    <t>Check 1039</t>
  </si>
  <si>
    <t>Check 1200</t>
  </si>
  <si>
    <t>RA Design &amp; Consultants</t>
  </si>
  <si>
    <t>Amex</t>
  </si>
  <si>
    <t>Check 1202</t>
  </si>
  <si>
    <t>Kunal Amex Payment</t>
  </si>
  <si>
    <t>Check 1199</t>
  </si>
  <si>
    <t>Counter Credit</t>
  </si>
  <si>
    <t>Check 1201</t>
  </si>
  <si>
    <t>Check 1203</t>
  </si>
  <si>
    <t>Check 1206</t>
  </si>
  <si>
    <t>Check 1205</t>
  </si>
  <si>
    <t>Check 1037</t>
  </si>
  <si>
    <t>Check 1207</t>
  </si>
  <si>
    <t>Cash</t>
  </si>
  <si>
    <t>Check 1204</t>
  </si>
  <si>
    <t>Card 7162</t>
  </si>
  <si>
    <t>Check 1215</t>
  </si>
  <si>
    <t>Amazon</t>
  </si>
  <si>
    <t>Check 1211</t>
  </si>
  <si>
    <t>Check 1053</t>
  </si>
  <si>
    <t>Jeremy Verbout</t>
  </si>
  <si>
    <t>Check 1219</t>
  </si>
  <si>
    <t>Check 1062</t>
  </si>
  <si>
    <t>O.E.A</t>
  </si>
  <si>
    <t>Check 1221</t>
  </si>
  <si>
    <t>Check 1218</t>
  </si>
  <si>
    <t>Check 1063</t>
  </si>
  <si>
    <t>Jorge Pervalo</t>
  </si>
  <si>
    <t>Tomich Siding</t>
  </si>
  <si>
    <t>Check 1216</t>
  </si>
  <si>
    <t>Check 1065</t>
  </si>
  <si>
    <t>RVC Construction</t>
  </si>
  <si>
    <t>Check 1220</t>
  </si>
  <si>
    <t>Check 1217</t>
  </si>
  <si>
    <t>Check 1066</t>
  </si>
  <si>
    <t>Check 1021</t>
  </si>
  <si>
    <t>Check 1069</t>
  </si>
  <si>
    <t>Level Five</t>
  </si>
  <si>
    <t>Check 1225</t>
  </si>
  <si>
    <t>Check 1227</t>
  </si>
  <si>
    <t>richard Wadsworth</t>
  </si>
  <si>
    <t>Check 1231</t>
  </si>
  <si>
    <t>Check 1070</t>
  </si>
  <si>
    <t>Tyeisha Clark</t>
  </si>
  <si>
    <t>Check 1229</t>
  </si>
  <si>
    <t>Check 1230</t>
  </si>
  <si>
    <t>Jyeisha Clark</t>
  </si>
  <si>
    <t>Check 1232</t>
  </si>
  <si>
    <t>Check 1255</t>
  </si>
  <si>
    <t>Check 1080</t>
  </si>
  <si>
    <t>Check 1254</t>
  </si>
  <si>
    <t>Check 1257</t>
  </si>
  <si>
    <t>Christian Holguin</t>
  </si>
  <si>
    <t>Check 1081</t>
  </si>
  <si>
    <t xml:space="preserve">Tomich </t>
  </si>
  <si>
    <t>Check 1262</t>
  </si>
  <si>
    <t>Check 1264</t>
  </si>
  <si>
    <t>Check 1040</t>
  </si>
  <si>
    <t>Hector Vgarte</t>
  </si>
  <si>
    <t>Check 1265</t>
  </si>
  <si>
    <t>Check 1260</t>
  </si>
  <si>
    <t>Check 1046</t>
  </si>
  <si>
    <t xml:space="preserve">Gomercindo Estepan </t>
  </si>
  <si>
    <t>Check 1261</t>
  </si>
  <si>
    <t>Check 1043</t>
  </si>
  <si>
    <t>Check 1268</t>
  </si>
  <si>
    <t>Check 1267</t>
  </si>
  <si>
    <t>Online Transfer 6298</t>
  </si>
  <si>
    <t>Check 1269</t>
  </si>
  <si>
    <t>Check 1274</t>
  </si>
  <si>
    <t>Check 1277</t>
  </si>
  <si>
    <t>Check 1271</t>
  </si>
  <si>
    <t>Check 1275</t>
  </si>
  <si>
    <t>Selvin Esquit</t>
  </si>
  <si>
    <t>Check 1094</t>
  </si>
  <si>
    <t>E8v Dirtwork</t>
  </si>
  <si>
    <t>Check 1281</t>
  </si>
  <si>
    <t>Check 1289</t>
  </si>
  <si>
    <t>Jheeson Pastor</t>
  </si>
  <si>
    <t>Check 1280</t>
  </si>
  <si>
    <t>Check 1092</t>
  </si>
  <si>
    <t>Check 1282</t>
  </si>
  <si>
    <t>Check 1290</t>
  </si>
  <si>
    <t>Check 1093</t>
  </si>
  <si>
    <t>Check 1284</t>
  </si>
  <si>
    <t>Clinton Cutzal</t>
  </si>
  <si>
    <t>Check 1283</t>
  </si>
  <si>
    <t>Check 1034</t>
  </si>
  <si>
    <t>Dhruv Kansara</t>
  </si>
  <si>
    <t>Check 1285</t>
  </si>
  <si>
    <t>Check 1287</t>
  </si>
  <si>
    <t>Guandong PA Home</t>
  </si>
  <si>
    <t>Check 1286</t>
  </si>
  <si>
    <t>Check 1288</t>
  </si>
  <si>
    <t>Check 1299</t>
  </si>
  <si>
    <t>Tyeisha Clerk</t>
  </si>
  <si>
    <t>Check 1118</t>
  </si>
  <si>
    <t>Construction</t>
  </si>
  <si>
    <t>Check 1307</t>
  </si>
  <si>
    <t>Check 1302</t>
  </si>
  <si>
    <t>Check 1120</t>
  </si>
  <si>
    <t>Check 1306</t>
  </si>
  <si>
    <t>Jherson Pastor</t>
  </si>
  <si>
    <t>Check 1308</t>
  </si>
  <si>
    <t>Check 1301</t>
  </si>
  <si>
    <t>Check 1303</t>
  </si>
  <si>
    <t>Check 1127</t>
  </si>
  <si>
    <t>Check 1305</t>
  </si>
  <si>
    <t>Check 1304</t>
  </si>
  <si>
    <t>Vulcan Innovation LLC</t>
  </si>
  <si>
    <t>Eunika Gill</t>
  </si>
  <si>
    <t>Check 1313</t>
  </si>
  <si>
    <t>Check 1132</t>
  </si>
  <si>
    <t>Lyto Construction</t>
  </si>
  <si>
    <t>Check 1314</t>
  </si>
  <si>
    <t>Check 1315</t>
  </si>
  <si>
    <t>Check 1316</t>
  </si>
  <si>
    <t>Check 1317</t>
  </si>
  <si>
    <t>Check 1134</t>
  </si>
  <si>
    <t>Check 1321</t>
  </si>
  <si>
    <t>CFC General Contractor LLC</t>
  </si>
  <si>
    <t>Check 1322</t>
  </si>
  <si>
    <t>Check 1140</t>
  </si>
  <si>
    <t>Check 1323</t>
  </si>
  <si>
    <t>Check 1325</t>
  </si>
  <si>
    <t>Check 1147</t>
  </si>
  <si>
    <t>Check 1326</t>
  </si>
  <si>
    <t>Check 1148</t>
  </si>
  <si>
    <t>Check 1324</t>
  </si>
  <si>
    <t>Check 1327</t>
  </si>
  <si>
    <t>Check 1328</t>
  </si>
  <si>
    <t>Check 1330</t>
  </si>
  <si>
    <t>Check 1151</t>
  </si>
  <si>
    <t>Check 1291</t>
  </si>
  <si>
    <t>Check 1293</t>
  </si>
  <si>
    <t>Jhorson Pastor</t>
  </si>
  <si>
    <t>Check 1149</t>
  </si>
  <si>
    <t>Check 1292</t>
  </si>
  <si>
    <t>Check 1159</t>
  </si>
  <si>
    <t>Check 1295</t>
  </si>
  <si>
    <t>Perfect Weather</t>
  </si>
  <si>
    <t>Check 1296</t>
  </si>
  <si>
    <t>Check 1162</t>
  </si>
  <si>
    <t>Check 1297</t>
  </si>
  <si>
    <t>Check 1333</t>
  </si>
  <si>
    <t>Check 1164</t>
  </si>
  <si>
    <t>Check 1335</t>
  </si>
  <si>
    <t>Check 1336</t>
  </si>
  <si>
    <t>Check 1163</t>
  </si>
  <si>
    <t>Check 1337</t>
  </si>
  <si>
    <t>Check 1338</t>
  </si>
  <si>
    <t>Check 1177</t>
  </si>
  <si>
    <t>Liano Stairs</t>
  </si>
  <si>
    <t>Check 1339</t>
  </si>
  <si>
    <t>Check 1340</t>
  </si>
  <si>
    <t>Check 1030</t>
  </si>
  <si>
    <t>Check 1341</t>
  </si>
  <si>
    <t>Check 1344</t>
  </si>
  <si>
    <t>Check 1346</t>
  </si>
  <si>
    <t>Check 1347</t>
  </si>
  <si>
    <t>Check 1350</t>
  </si>
  <si>
    <t>Check 1351</t>
  </si>
  <si>
    <t>Capex Capital Investment</t>
  </si>
  <si>
    <t>Check 1352</t>
  </si>
  <si>
    <t>Check 1353</t>
  </si>
  <si>
    <t>Check 1185</t>
  </si>
  <si>
    <t>Check 1355</t>
  </si>
  <si>
    <t>Dynasty Fire Protection</t>
  </si>
  <si>
    <t>Check 1356</t>
  </si>
  <si>
    <t>Plumbing</t>
  </si>
  <si>
    <t>Check 1357</t>
  </si>
  <si>
    <t>Check 1359</t>
  </si>
  <si>
    <t>Check 1360</t>
  </si>
  <si>
    <t>Check 1361</t>
  </si>
  <si>
    <t>Check 1176</t>
  </si>
  <si>
    <t>Check 1362</t>
  </si>
  <si>
    <t>Check 1363</t>
  </si>
  <si>
    <t>Miguel Electricia</t>
  </si>
  <si>
    <t>Check 1364</t>
  </si>
  <si>
    <t>Check 1365</t>
  </si>
  <si>
    <t>Check 1187</t>
  </si>
  <si>
    <t>Solo Construction Corp</t>
  </si>
  <si>
    <t>Check 1366</t>
  </si>
  <si>
    <t>Check 1367</t>
  </si>
  <si>
    <t>Check 1188</t>
  </si>
  <si>
    <t>JC General</t>
  </si>
  <si>
    <t>Check 1368</t>
  </si>
  <si>
    <t>Check 1371</t>
  </si>
  <si>
    <t>Check 1197</t>
  </si>
  <si>
    <t>Check 1372</t>
  </si>
  <si>
    <t>Check 1373</t>
  </si>
  <si>
    <t>Jose Ramiez</t>
  </si>
  <si>
    <t>Check 1198</t>
  </si>
  <si>
    <t>Check 1375</t>
  </si>
  <si>
    <t>Check 1376</t>
  </si>
  <si>
    <t>Check 1239</t>
  </si>
  <si>
    <t>Check 1377</t>
  </si>
  <si>
    <t>E V</t>
  </si>
  <si>
    <t>Check 1378</t>
  </si>
  <si>
    <t>Check 1240</t>
  </si>
  <si>
    <t>Check 1379</t>
  </si>
  <si>
    <t>Check 1380</t>
  </si>
  <si>
    <t>Check 1252</t>
  </si>
  <si>
    <t>Check 1381</t>
  </si>
  <si>
    <t>Check 1382</t>
  </si>
  <si>
    <t>Check 1383</t>
  </si>
  <si>
    <t>Check 1385</t>
  </si>
  <si>
    <t>Check 1209</t>
  </si>
  <si>
    <t>M D Wiring</t>
  </si>
  <si>
    <t>Check 1343</t>
  </si>
  <si>
    <t>Check 1390</t>
  </si>
  <si>
    <t>Check 1208</t>
  </si>
  <si>
    <t>Chaclos Tocces</t>
  </si>
  <si>
    <t>Check 1391</t>
  </si>
  <si>
    <t>Check 1392</t>
  </si>
  <si>
    <t>Check 1393</t>
  </si>
  <si>
    <t>Check 1394</t>
  </si>
  <si>
    <t>Check 1396</t>
  </si>
  <si>
    <t>K S Builders</t>
  </si>
  <si>
    <t>Check 1397</t>
  </si>
  <si>
    <t>Check 1401</t>
  </si>
  <si>
    <t>Check 1406</t>
  </si>
  <si>
    <t>Check 1407</t>
  </si>
  <si>
    <t>Check 1408</t>
  </si>
  <si>
    <t>Check 1409</t>
  </si>
  <si>
    <t>Check 1411</t>
  </si>
  <si>
    <t>Check 1412</t>
  </si>
  <si>
    <t>Check 1413</t>
  </si>
  <si>
    <t>Jorge Calderon</t>
  </si>
  <si>
    <t>Check 1414</t>
  </si>
  <si>
    <t>Check 1416</t>
  </si>
  <si>
    <t>Andres Gonz</t>
  </si>
  <si>
    <t>Check 1418</t>
  </si>
  <si>
    <t>Check 1320</t>
  </si>
  <si>
    <t>Check 1410</t>
  </si>
  <si>
    <t>Check 1213</t>
  </si>
  <si>
    <t>Clear Flow LLC</t>
  </si>
  <si>
    <t>Check 1422</t>
  </si>
  <si>
    <t>Check 1423</t>
  </si>
  <si>
    <t>Check 1424</t>
  </si>
  <si>
    <t>Check 1425</t>
  </si>
  <si>
    <t>Amilcar Gollarza</t>
  </si>
  <si>
    <t>Check 1426</t>
  </si>
  <si>
    <t>Check 1427</t>
  </si>
  <si>
    <t>Check 1428</t>
  </si>
  <si>
    <t>Check 1429</t>
  </si>
  <si>
    <t>Check 1430</t>
  </si>
  <si>
    <t>Check 1223</t>
  </si>
  <si>
    <t>Check 1432</t>
  </si>
  <si>
    <t>Check 1433</t>
  </si>
  <si>
    <t>Ludwin Cum</t>
  </si>
  <si>
    <t>Check 1222</t>
  </si>
  <si>
    <t>Check 1437</t>
  </si>
  <si>
    <t>Check 1438</t>
  </si>
  <si>
    <t>Check 1226</t>
  </si>
  <si>
    <t>Check 1439</t>
  </si>
  <si>
    <t>Check 1440</t>
  </si>
  <si>
    <t>Check 1441</t>
  </si>
  <si>
    <t>Check 1442</t>
  </si>
  <si>
    <t>Check 1387</t>
  </si>
  <si>
    <t>Check 1444</t>
  </si>
  <si>
    <t>Check 1445</t>
  </si>
  <si>
    <t>Check 1446</t>
  </si>
  <si>
    <t>Rolf Loitzko</t>
  </si>
  <si>
    <t>Check 1447</t>
  </si>
  <si>
    <t>Check 1448</t>
  </si>
  <si>
    <t>Check 1449</t>
  </si>
  <si>
    <t>Check 1450</t>
  </si>
  <si>
    <t>Check 1224</t>
  </si>
  <si>
    <t>Check 1451</t>
  </si>
  <si>
    <t>Check 1457</t>
  </si>
  <si>
    <t>Check 1459</t>
  </si>
  <si>
    <t>Check 1460</t>
  </si>
  <si>
    <t>Check 1461</t>
  </si>
  <si>
    <t>Check 1462</t>
  </si>
  <si>
    <t>Check 1464</t>
  </si>
  <si>
    <t>Check 1020</t>
  </si>
  <si>
    <t>Check 1228</t>
  </si>
  <si>
    <t>Check 1233</t>
  </si>
  <si>
    <t>Two Brothers Drywall</t>
  </si>
  <si>
    <t>Check 1234</t>
  </si>
  <si>
    <t>Check 1258</t>
  </si>
  <si>
    <t>Check 1259</t>
  </si>
  <si>
    <t>Check 1266</t>
  </si>
  <si>
    <t>Check 1270</t>
  </si>
  <si>
    <t>Elver Lcopddo Castonon</t>
  </si>
  <si>
    <t>Check 1276</t>
  </si>
  <si>
    <t>Kelvin Navacco</t>
  </si>
  <si>
    <t>Check 1278</t>
  </si>
  <si>
    <t>Clean</t>
  </si>
  <si>
    <t>Check 1279</t>
  </si>
  <si>
    <t>Check 1272</t>
  </si>
  <si>
    <t>Edwar Construction</t>
  </si>
  <si>
    <t>Check 1298</t>
  </si>
  <si>
    <t>R V P General Construction</t>
  </si>
  <si>
    <t>Check 1300</t>
  </si>
  <si>
    <t>Check 1309</t>
  </si>
  <si>
    <t>Check 1310</t>
  </si>
  <si>
    <t>Check 1311</t>
  </si>
  <si>
    <t>Kathiusca Santiago</t>
  </si>
  <si>
    <t>Check 1318</t>
  </si>
  <si>
    <t>Pereires Trimming LLC</t>
  </si>
  <si>
    <t>Check 1294</t>
  </si>
  <si>
    <t>Check 1329</t>
  </si>
  <si>
    <t>No Check</t>
  </si>
  <si>
    <t>Check 1332</t>
  </si>
  <si>
    <t>Moda Tiles</t>
  </si>
  <si>
    <t>Check 1334</t>
  </si>
  <si>
    <t>Check 1342</t>
  </si>
  <si>
    <t>IOS Hardwood Floor</t>
  </si>
  <si>
    <t>Check 1345</t>
  </si>
  <si>
    <t>Check 1348</t>
  </si>
  <si>
    <t>Check 1349</t>
  </si>
  <si>
    <t>Check 1354</t>
  </si>
  <si>
    <t>Check 1358</t>
  </si>
  <si>
    <t>American Marble &amp; Granite</t>
  </si>
  <si>
    <t>Amercan Express</t>
  </si>
  <si>
    <t>Check 1369</t>
  </si>
  <si>
    <t>Check 1370</t>
  </si>
  <si>
    <t>Check 1374</t>
  </si>
  <si>
    <t>Juan Hvertas</t>
  </si>
  <si>
    <t>Check 1399</t>
  </si>
  <si>
    <t>Check 1402</t>
  </si>
  <si>
    <t>04/10//2026</t>
  </si>
  <si>
    <t>Check 1403</t>
  </si>
  <si>
    <t>Check 1404</t>
  </si>
  <si>
    <t xml:space="preserve">Es Tenovation Hardware </t>
  </si>
  <si>
    <t>Check 1405</t>
  </si>
  <si>
    <t>Check 1415</t>
  </si>
  <si>
    <t>Check 1417</t>
  </si>
  <si>
    <t>Check 1419</t>
  </si>
  <si>
    <t>Prime Wire Solution</t>
  </si>
  <si>
    <t>Check 1420</t>
  </si>
  <si>
    <t>Welding &amp; Construction LLC</t>
  </si>
  <si>
    <t>Check 1421</t>
  </si>
  <si>
    <t>Check 1431</t>
  </si>
  <si>
    <t>Check 1435</t>
  </si>
  <si>
    <t>Check 1443</t>
  </si>
  <si>
    <t>Check 1453</t>
  </si>
  <si>
    <t>Check 1454</t>
  </si>
  <si>
    <t>Check 1455</t>
  </si>
  <si>
    <t>Check 1463</t>
  </si>
  <si>
    <t>Check 1466</t>
  </si>
  <si>
    <t>Wire Transfer Fee</t>
  </si>
  <si>
    <t>Excess Transation Fee</t>
  </si>
  <si>
    <t>Overdraft Fee</t>
  </si>
  <si>
    <t>Withdrawal</t>
  </si>
  <si>
    <t>Passaic Valley Sewage</t>
  </si>
  <si>
    <t>Nj Gov ServEw</t>
  </si>
  <si>
    <t>Jersey City Tax Payment</t>
  </si>
  <si>
    <t>Jersey City CFee</t>
  </si>
  <si>
    <t>NJ web PMT</t>
  </si>
  <si>
    <t>Check 1028</t>
  </si>
  <si>
    <t>State of New Jersey</t>
  </si>
  <si>
    <t>Check 1019</t>
  </si>
  <si>
    <t>FCI Loan Payment</t>
  </si>
  <si>
    <t>BSI Finance</t>
  </si>
  <si>
    <t>bsI Finance</t>
  </si>
  <si>
    <t>Bsi Finance</t>
  </si>
  <si>
    <t>Check 1003</t>
  </si>
  <si>
    <t>Friend Of Anand Shah</t>
  </si>
  <si>
    <t>credit</t>
  </si>
  <si>
    <t>Sav 7614</t>
  </si>
  <si>
    <t xml:space="preserve">Return of Check </t>
  </si>
  <si>
    <t>chk 0529</t>
  </si>
  <si>
    <t>CHK6139</t>
  </si>
  <si>
    <t>American Express</t>
  </si>
  <si>
    <t>Check washout</t>
  </si>
  <si>
    <t>Dalchand Seenanam</t>
  </si>
  <si>
    <t>Maulik Shah</t>
  </si>
  <si>
    <t>Check 1436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</si>
</sst>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&quot;$&quot;#,##0"/>
    <numFmt numFmtId="166" formatCode="mm/dd/yyyy"/>
    <numFmt numFmtId="167" formatCode="m/d/yy"/>
    <numFmt numFmtId="168" formatCode="m/d"/>
    <numFmt numFmtId="169" formatCode="_(&quot;$&quot;* #,##0.00_);_(&quot;$&quot;* \(#,##0.00\);_(&quot;$&quot;* &quot;-&quot;??_);_(@_)"/>
    <numFmt numFmtId="170" formatCode="m/d/yyyy"/>
    <numFmt numFmtId="171" formatCode="M/d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  <font>
      <strike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10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readingOrder="0"/>
    </xf>
    <xf borderId="1" fillId="0" fontId="2" numFmtId="164" xfId="0" applyBorder="1" applyFont="1" applyNumberFormat="1"/>
    <xf borderId="0" fillId="0" fontId="3" numFmtId="3" xfId="0" applyAlignment="1" applyFont="1" applyNumberFormat="1">
      <alignment vertical="bottom"/>
    </xf>
    <xf borderId="1" fillId="0" fontId="3" numFmtId="3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0" fillId="0" fontId="4" numFmtId="3" xfId="0" applyAlignment="1" applyFont="1" applyNumberFormat="1">
      <alignment readingOrder="0" vertical="bottom"/>
    </xf>
    <xf borderId="1" fillId="0" fontId="4" numFmtId="3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0" fillId="0" fontId="2" numFmtId="0" xfId="0" applyFont="1"/>
    <xf borderId="1" fillId="0" fontId="2" numFmtId="0" xfId="0" applyBorder="1" applyFont="1"/>
    <xf borderId="1" fillId="0" fontId="2" numFmtId="10" xfId="0" applyBorder="1" applyFont="1" applyNumberFormat="1"/>
    <xf borderId="1" fillId="0" fontId="2" numFmtId="164" xfId="0" applyAlignment="1" applyBorder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4" numFmtId="3" xfId="0" applyAlignment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horizontal="center" readingOrder="0" vertical="center"/>
    </xf>
    <xf borderId="3" fillId="0" fontId="2" numFmtId="164" xfId="0" applyAlignment="1" applyBorder="1" applyFont="1" applyNumberForma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2" numFmtId="164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0" fontId="2" numFmtId="166" xfId="0" applyAlignment="1" applyBorder="1" applyFont="1" applyNumberFormat="1">
      <alignment horizontal="center" readingOrder="0"/>
    </xf>
    <xf borderId="9" fillId="0" fontId="2" numFmtId="164" xfId="0" applyAlignment="1" applyBorder="1" applyFont="1" applyNumberFormat="1">
      <alignment readingOrder="0"/>
    </xf>
    <xf borderId="9" fillId="0" fontId="2" numFmtId="169" xfId="0" applyAlignment="1" applyBorder="1" applyFont="1" applyNumberFormat="1">
      <alignment readingOrder="0"/>
    </xf>
    <xf borderId="10" fillId="0" fontId="2" numFmtId="169" xfId="0" applyAlignment="1" applyBorder="1" applyFont="1" applyNumberFormat="1">
      <alignment readingOrder="0"/>
    </xf>
    <xf borderId="9" fillId="0" fontId="2" numFmtId="169" xfId="0" applyBorder="1" applyFont="1" applyNumberFormat="1"/>
    <xf borderId="11" fillId="0" fontId="2" numFmtId="169" xfId="0" applyAlignment="1" applyBorder="1" applyFont="1" applyNumberFormat="1">
      <alignment readingOrder="0"/>
    </xf>
    <xf borderId="11" fillId="0" fontId="2" numFmtId="169" xfId="0" applyBorder="1" applyFont="1" applyNumberFormat="1"/>
    <xf borderId="12" fillId="0" fontId="2" numFmtId="169" xfId="0" applyBorder="1" applyFont="1" applyNumberFormat="1"/>
    <xf borderId="1" fillId="0" fontId="2" numFmtId="169" xfId="0" applyBorder="1" applyFont="1" applyNumberFormat="1"/>
    <xf borderId="1" fillId="0" fontId="2" numFmtId="169" xfId="0" applyAlignment="1" applyBorder="1" applyFont="1" applyNumberFormat="1">
      <alignment readingOrder="0"/>
    </xf>
    <xf borderId="13" fillId="0" fontId="2" numFmtId="169" xfId="0" applyAlignment="1" applyBorder="1" applyFont="1" applyNumberFormat="1">
      <alignment readingOrder="0"/>
    </xf>
    <xf borderId="12" fillId="0" fontId="2" numFmtId="169" xfId="0" applyAlignment="1" applyBorder="1" applyFont="1" applyNumberFormat="1">
      <alignment readingOrder="0"/>
    </xf>
    <xf borderId="8" fillId="0" fontId="2" numFmtId="164" xfId="0" applyAlignment="1" applyBorder="1" applyFont="1" applyNumberFormat="1">
      <alignment horizontal="center" readingOrder="0"/>
    </xf>
    <xf borderId="14" fillId="0" fontId="2" numFmtId="169" xfId="0" applyBorder="1" applyFont="1" applyNumberFormat="1"/>
    <xf borderId="14" fillId="0" fontId="2" numFmtId="169" xfId="0" applyAlignment="1" applyBorder="1" applyFont="1" applyNumberFormat="1">
      <alignment readingOrder="0"/>
    </xf>
    <xf borderId="15" fillId="0" fontId="2" numFmtId="169" xfId="0" applyBorder="1" applyFont="1" applyNumberFormat="1"/>
    <xf borderId="0" fillId="0" fontId="2" numFmtId="169" xfId="0" applyFont="1" applyNumberFormat="1"/>
    <xf borderId="16" fillId="0" fontId="2" numFmtId="166" xfId="0" applyAlignment="1" applyBorder="1" applyFont="1" applyNumberFormat="1">
      <alignment horizontal="center" readingOrder="0"/>
    </xf>
    <xf borderId="17" fillId="0" fontId="2" numFmtId="164" xfId="0" applyBorder="1" applyFont="1" applyNumberFormat="1"/>
    <xf borderId="17" fillId="0" fontId="2" numFmtId="169" xfId="0" applyBorder="1" applyFont="1" applyNumberFormat="1"/>
    <xf borderId="16" fillId="0" fontId="2" numFmtId="170" xfId="0" applyAlignment="1" applyBorder="1" applyFont="1" applyNumberFormat="1">
      <alignment horizontal="center" readingOrder="0"/>
    </xf>
    <xf borderId="10" fillId="0" fontId="2" numFmtId="169" xfId="0" applyBorder="1" applyFont="1" applyNumberFormat="1"/>
    <xf borderId="17" fillId="0" fontId="2" numFmtId="169" xfId="0" applyAlignment="1" applyBorder="1" applyFont="1" applyNumberFormat="1">
      <alignment readingOrder="0"/>
    </xf>
    <xf borderId="17" fillId="0" fontId="2" numFmtId="164" xfId="0" applyAlignment="1" applyBorder="1" applyFont="1" applyNumberFormat="1">
      <alignment readingOrder="0"/>
    </xf>
    <xf borderId="18" fillId="0" fontId="2" numFmtId="0" xfId="0" applyAlignment="1" applyBorder="1" applyFont="1">
      <alignment horizontal="center" readingOrder="0"/>
    </xf>
    <xf borderId="19" fillId="0" fontId="2" numFmtId="164" xfId="0" applyBorder="1" applyFont="1" applyNumberFormat="1"/>
    <xf borderId="19" fillId="0" fontId="2" numFmtId="169" xfId="0" applyBorder="1" applyFont="1" applyNumberFormat="1"/>
    <xf borderId="20" fillId="0" fontId="2" numFmtId="169" xfId="0" applyBorder="1" applyFont="1" applyNumberFormat="1"/>
    <xf borderId="0" fillId="0" fontId="2" numFmtId="170" xfId="0" applyAlignment="1" applyFont="1" applyNumberFormat="1">
      <alignment readingOrder="0"/>
    </xf>
    <xf borderId="21" fillId="0" fontId="2" numFmtId="169" xfId="0" applyBorder="1" applyFont="1" applyNumberFormat="1"/>
    <xf borderId="22" fillId="0" fontId="2" numFmtId="0" xfId="0" applyAlignment="1" applyBorder="1" applyFont="1">
      <alignment horizontal="center" readingOrder="0"/>
    </xf>
    <xf borderId="23" fillId="0" fontId="2" numFmtId="164" xfId="0" applyBorder="1" applyFont="1" applyNumberFormat="1"/>
    <xf borderId="24" fillId="0" fontId="2" numFmtId="169" xfId="0" applyBorder="1" applyFont="1" applyNumberFormat="1"/>
    <xf borderId="25" fillId="0" fontId="2" numFmtId="169" xfId="0" applyBorder="1" applyFont="1" applyNumberFormat="1"/>
    <xf borderId="26" fillId="2" fontId="2" numFmtId="169" xfId="0" applyAlignment="1" applyBorder="1" applyFill="1" applyFont="1" applyNumberFormat="1">
      <alignment readingOrder="0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71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readingOrder="0" vertical="bottom"/>
    </xf>
    <xf borderId="0" fillId="0" fontId="2" numFmtId="171" xfId="0" applyAlignment="1" applyFont="1" applyNumberFormat="1">
      <alignment horizontal="center"/>
    </xf>
    <xf borderId="0" fillId="0" fontId="2" numFmtId="171" xfId="0" applyFont="1" applyNumberFormat="1"/>
    <xf borderId="0" fillId="0" fontId="2" numFmtId="171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rutarth Shah" id="{e6b24743-b2eb-4346-9270-5d6463718d0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4" dT="2025-01-06T19:00:29.00" personId="{e6b24743-b2eb-4346-9270-5d6463718d03}" id="{0d5b0f25-09e8-4ff1-b3db-5cbe24de47c2}" done="0">
    <x18tc:text xml:space="preserve">Marketing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8" dT="2025-01-06T19:06:45.00" personId="{e6b24743-b2eb-4346-9270-5d6463718d03}" id="{ea593e31-67e3-4dcc-99a0-cd222c7e4bec}" done="0">
    <x18tc:text xml:space="preserve">water</x18tc:text>
  </x18tc:threadedComment>
  <x18tc:threadedComment ref="C14" dT="2024-12-12T07:58:58.00" personId="{e6b24743-b2eb-4346-9270-5d6463718d03}" id="{d801cfcd-c546-40b9-bec1-0940122019cc}" done="0">
    <x18tc:text xml:space="preserve">No Packing Singn</x18tc:text>
  </x18tc:threadedComment>
  <x18tc:threadedComment ref="C20" dT="2025-01-06T19:12:41.00" personId="{e6b24743-b2eb-4346-9270-5d6463718d03}" id="{1bec3015-de5f-40d6-92d9-4b6c470750b5}" done="0">
    <x18tc:text xml:space="preserve">No Packing signs</x18tc:text>
  </x18tc:threadedComment>
  <x18tc:threadedComment ref="C7" dT="2024-11-25T15:08:49.00" personId="{e6b24743-b2eb-4346-9270-5d6463718d03}" id="{07573572-9ca3-4168-8569-63127dc853c7}" done="0">
    <x18tc:text xml:space="preserve">No Packing Signs</x18tc:text>
  </x18tc:threadedComment>
  <x18tc:threadedComment ref="C21" dT="2025-01-06T19:13:44.00" personId="{e6b24743-b2eb-4346-9270-5d6463718d03}" id="{76580288-caa9-4b05-afaa-6441a001499c}" done="0">
    <x18tc:text xml:space="preserve">Dirth Removal</x18tc:text>
  </x18tc:threadedComment>
  <x18tc:threadedComment ref="C25" dT="2025-02-07T20:40:51.00" personId="{e6b24743-b2eb-4346-9270-5d6463718d03}" id="{0dcd5f9c-88d9-4abe-84be-02cbfc24b119}" done="0">
    <x18tc:text xml:space="preserve">JSQ Amex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5-02-07T20:53:51.00" personId="{e6b24743-b2eb-4346-9270-5d6463718d03}" id="{f65e9154-e2ad-4dcc-ad29-2f0d172722a4}" done="0">
    <x18tc:text xml:space="preserve">Donation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6.38"/>
    <col customWidth="1" min="12" max="12" width="27.13"/>
  </cols>
  <sheetData>
    <row r="1">
      <c r="A1" s="1" t="s">
        <v>0</v>
      </c>
      <c r="B1" s="2"/>
      <c r="C1" s="3">
        <v>475000.0</v>
      </c>
    </row>
    <row r="2">
      <c r="A2" s="4"/>
      <c r="B2" s="2"/>
    </row>
    <row r="3">
      <c r="B3" s="2"/>
    </row>
    <row r="4">
      <c r="B4" s="2"/>
    </row>
    <row r="5">
      <c r="A5" s="5" t="s">
        <v>1</v>
      </c>
      <c r="B5" s="7">
        <v>0.25</v>
      </c>
      <c r="C5" s="10">
        <f>C1*B5</f>
        <v>118750</v>
      </c>
    </row>
    <row r="6">
      <c r="A6" s="5" t="s">
        <v>10</v>
      </c>
      <c r="B6" s="7">
        <v>0.25</v>
      </c>
      <c r="C6" s="10">
        <f>C1*B6</f>
        <v>118750</v>
      </c>
    </row>
    <row r="7">
      <c r="A7" s="5" t="s">
        <v>12</v>
      </c>
      <c r="B7" s="7">
        <v>0.2</v>
      </c>
      <c r="C7" s="10">
        <f>C1*B7</f>
        <v>95000</v>
      </c>
    </row>
    <row r="8">
      <c r="A8" s="5" t="s">
        <v>15</v>
      </c>
      <c r="B8" s="7">
        <v>0.2</v>
      </c>
      <c r="C8" s="10">
        <f>C1*B8</f>
        <v>95000</v>
      </c>
      <c r="J8" s="6">
        <f>2000*0.03</f>
        <v>60</v>
      </c>
    </row>
    <row r="9">
      <c r="A9" s="5" t="s">
        <v>16</v>
      </c>
      <c r="B9" s="7">
        <v>0.1</v>
      </c>
      <c r="C9" s="10">
        <f>C1*B9</f>
        <v>47500</v>
      </c>
    </row>
    <row r="10">
      <c r="A10" s="5"/>
      <c r="B10" s="7"/>
      <c r="C10" s="10"/>
    </row>
    <row r="11">
      <c r="A11" s="5"/>
      <c r="B11" s="7"/>
      <c r="C11" s="10"/>
      <c r="J11" s="20">
        <f>575*3</f>
        <v>1725</v>
      </c>
    </row>
    <row r="12">
      <c r="A12" s="21"/>
      <c r="B12" s="22">
        <f>SUM(B5:B11)</f>
        <v>1</v>
      </c>
      <c r="C12" s="23">
        <v>475000.0</v>
      </c>
      <c r="J12" s="20">
        <f>1725+300</f>
        <v>2025</v>
      </c>
    </row>
    <row r="13">
      <c r="B13" s="2"/>
      <c r="J13" s="24"/>
      <c r="K13" s="3"/>
      <c r="M13" s="25"/>
    </row>
    <row r="14">
      <c r="A14" s="6" t="s">
        <v>26</v>
      </c>
      <c r="B14" s="3">
        <v>475000.0</v>
      </c>
      <c r="J14" s="26"/>
    </row>
    <row r="15">
      <c r="B15" s="2"/>
    </row>
    <row r="16">
      <c r="B16" s="2"/>
    </row>
    <row r="17">
      <c r="A17" s="29" t="s">
        <v>2</v>
      </c>
      <c r="B17" s="30" t="s">
        <v>30</v>
      </c>
      <c r="C17" s="31"/>
      <c r="D17" s="31"/>
      <c r="E17" s="31"/>
      <c r="F17" s="31"/>
      <c r="G17" s="31"/>
      <c r="H17" s="31"/>
      <c r="I17" s="32"/>
    </row>
    <row r="18">
      <c r="A18" s="33"/>
      <c r="B18" s="34" t="s">
        <v>1</v>
      </c>
      <c r="C18" s="34" t="s">
        <v>12</v>
      </c>
      <c r="D18" s="34" t="s">
        <v>10</v>
      </c>
      <c r="E18" s="34" t="s">
        <v>16</v>
      </c>
      <c r="F18" s="34" t="s">
        <v>15</v>
      </c>
      <c r="G18" s="30" t="s">
        <v>32</v>
      </c>
      <c r="H18" s="35" t="s">
        <v>33</v>
      </c>
      <c r="I18" s="36"/>
      <c r="L18" s="6">
        <v>1750.0</v>
      </c>
    </row>
    <row r="19">
      <c r="A19" s="37">
        <v>45404.0</v>
      </c>
      <c r="B19" s="38">
        <v>20000.0</v>
      </c>
      <c r="C19" s="39"/>
      <c r="D19" s="40"/>
      <c r="E19" s="41"/>
      <c r="F19" s="41"/>
      <c r="G19" s="42"/>
      <c r="H19" s="43"/>
      <c r="I19" s="44">
        <f t="shared" ref="I19:I21" si="1">sum(B19:F19)</f>
        <v>20000</v>
      </c>
      <c r="L19" s="6">
        <v>150.0</v>
      </c>
    </row>
    <row r="20">
      <c r="A20" s="37">
        <v>45405.0</v>
      </c>
      <c r="B20" s="38"/>
      <c r="C20" s="39"/>
      <c r="D20" s="39"/>
      <c r="E20" s="39">
        <v>40000.0</v>
      </c>
      <c r="F20" s="41"/>
      <c r="G20" s="42"/>
      <c r="H20" s="43"/>
      <c r="I20" s="44">
        <f t="shared" si="1"/>
        <v>40000</v>
      </c>
      <c r="L20" s="6">
        <v>1210.0</v>
      </c>
    </row>
    <row r="21">
      <c r="A21" s="37">
        <v>45419.0</v>
      </c>
      <c r="B21" s="38">
        <v>80000.0</v>
      </c>
      <c r="C21" s="39">
        <v>80000.0</v>
      </c>
      <c r="D21" s="39">
        <v>100000.0</v>
      </c>
      <c r="E21" s="41"/>
      <c r="F21" s="39">
        <v>80000.0</v>
      </c>
      <c r="G21" s="42"/>
      <c r="H21" s="43"/>
      <c r="I21" s="44">
        <f t="shared" si="1"/>
        <v>340000</v>
      </c>
      <c r="L21" s="6">
        <v>500.0</v>
      </c>
    </row>
    <row r="22">
      <c r="A22" s="37">
        <v>45433.0</v>
      </c>
      <c r="B22" s="23"/>
      <c r="C22" s="45"/>
      <c r="D22" s="46"/>
      <c r="E22" s="46"/>
      <c r="F22" s="46"/>
      <c r="G22" s="47"/>
      <c r="H22" s="42">
        <v>10000.0</v>
      </c>
      <c r="I22" s="48">
        <v>-10000.0</v>
      </c>
      <c r="M22" s="6" t="s">
        <v>37</v>
      </c>
    </row>
    <row r="23">
      <c r="A23" s="37">
        <v>45467.0</v>
      </c>
      <c r="B23" s="23"/>
      <c r="C23" s="46"/>
      <c r="D23" s="46"/>
      <c r="E23" s="46"/>
      <c r="F23" s="46"/>
      <c r="G23" s="47"/>
      <c r="H23" s="42">
        <v>-10153.5</v>
      </c>
      <c r="I23" s="48">
        <v>10153.5</v>
      </c>
      <c r="L23" s="6">
        <v>300.0</v>
      </c>
    </row>
    <row r="24">
      <c r="A24" s="37">
        <v>45495.0</v>
      </c>
      <c r="B24" s="49">
        <v>10000.0</v>
      </c>
      <c r="C24" s="50"/>
      <c r="D24" s="50"/>
      <c r="E24" s="51"/>
      <c r="F24" s="50"/>
      <c r="G24" s="52"/>
      <c r="H24" s="53"/>
      <c r="I24" s="44">
        <f t="shared" ref="I24:I29" si="2">sum(B24:F24)</f>
        <v>10000</v>
      </c>
    </row>
    <row r="25">
      <c r="A25" s="37">
        <v>45554.0</v>
      </c>
      <c r="B25" s="49"/>
      <c r="C25" s="50"/>
      <c r="D25" s="51"/>
      <c r="E25" s="51">
        <v>2500.0</v>
      </c>
      <c r="F25" s="50"/>
      <c r="G25" s="52"/>
      <c r="H25" s="53"/>
      <c r="I25" s="44">
        <f t="shared" si="2"/>
        <v>2500</v>
      </c>
    </row>
    <row r="26">
      <c r="A26" s="37">
        <v>45558.0</v>
      </c>
      <c r="B26" s="49"/>
      <c r="C26" s="46">
        <v>5000.0</v>
      </c>
      <c r="D26" s="46"/>
      <c r="E26" s="46"/>
      <c r="F26" s="46"/>
      <c r="G26" s="46"/>
      <c r="H26" s="43"/>
      <c r="I26" s="44">
        <f t="shared" si="2"/>
        <v>5000</v>
      </c>
    </row>
    <row r="27">
      <c r="A27" s="37">
        <v>45573.0</v>
      </c>
      <c r="B27" s="49"/>
      <c r="C27" s="46"/>
      <c r="D27" s="46"/>
      <c r="E27" s="46"/>
      <c r="F27" s="46">
        <v>5000.0</v>
      </c>
      <c r="G27" s="46"/>
      <c r="H27" s="43"/>
      <c r="I27" s="44">
        <f t="shared" si="2"/>
        <v>5000</v>
      </c>
    </row>
    <row r="28">
      <c r="A28" s="37">
        <v>45586.0</v>
      </c>
      <c r="B28" s="49">
        <v>6250.0</v>
      </c>
      <c r="C28" s="46"/>
      <c r="D28" s="46"/>
      <c r="E28" s="46"/>
      <c r="F28" s="46"/>
      <c r="G28" s="46"/>
      <c r="H28" s="43"/>
      <c r="I28" s="44">
        <f t="shared" si="2"/>
        <v>6250</v>
      </c>
    </row>
    <row r="29">
      <c r="A29" s="37">
        <v>45586.0</v>
      </c>
      <c r="B29" s="49"/>
      <c r="C29" s="46"/>
      <c r="D29" s="46"/>
      <c r="E29" s="46">
        <v>2500.0</v>
      </c>
      <c r="F29" s="46"/>
      <c r="G29" s="46"/>
      <c r="H29" s="43"/>
      <c r="I29" s="44">
        <f t="shared" si="2"/>
        <v>2500</v>
      </c>
    </row>
    <row r="30">
      <c r="A30" s="54">
        <v>45604.0</v>
      </c>
      <c r="B30" s="55"/>
      <c r="C30" s="56"/>
      <c r="D30" s="56"/>
      <c r="E30" s="56"/>
      <c r="F30" s="56"/>
      <c r="G30" s="40">
        <v>58857.25</v>
      </c>
      <c r="H30" s="40"/>
      <c r="I30" s="48">
        <v>58857.25</v>
      </c>
    </row>
    <row r="31">
      <c r="A31" s="54">
        <v>45630.0</v>
      </c>
      <c r="B31" s="55"/>
      <c r="C31" s="56"/>
      <c r="D31" s="56"/>
      <c r="E31" s="56"/>
      <c r="F31" s="56"/>
      <c r="G31" s="40">
        <v>83599.0</v>
      </c>
      <c r="H31" s="40"/>
      <c r="I31" s="48">
        <v>83599.0</v>
      </c>
    </row>
    <row r="32">
      <c r="A32" s="54">
        <v>45656.0</v>
      </c>
      <c r="B32" s="55"/>
      <c r="C32" s="56"/>
      <c r="D32" s="56"/>
      <c r="E32" s="56"/>
      <c r="F32" s="56"/>
      <c r="G32" s="40"/>
      <c r="H32" s="40">
        <v>5000.0</v>
      </c>
      <c r="I32" s="48">
        <v>5000.0</v>
      </c>
    </row>
    <row r="33">
      <c r="A33" s="57">
        <v>45646.0</v>
      </c>
      <c r="B33" s="55"/>
      <c r="C33" s="56"/>
      <c r="D33" s="56"/>
      <c r="E33" s="56"/>
      <c r="F33" s="56"/>
      <c r="G33" s="58"/>
      <c r="H33" s="40">
        <v>-5000.0</v>
      </c>
      <c r="I33" s="48">
        <v>-5000.0</v>
      </c>
    </row>
    <row r="34">
      <c r="A34" s="57">
        <v>45678.0</v>
      </c>
      <c r="B34" s="55"/>
      <c r="C34" s="56"/>
      <c r="D34" s="56"/>
      <c r="E34" s="56"/>
      <c r="F34" s="56"/>
      <c r="G34" s="58"/>
      <c r="H34" s="40">
        <v>1000.0</v>
      </c>
      <c r="I34" s="48">
        <v>1000.0</v>
      </c>
    </row>
    <row r="35">
      <c r="A35" s="57">
        <v>45693.0</v>
      </c>
      <c r="B35" s="55"/>
      <c r="C35" s="56"/>
      <c r="D35" s="56"/>
      <c r="E35" s="56"/>
      <c r="F35" s="56"/>
      <c r="G35" s="40">
        <v>87925.0</v>
      </c>
      <c r="H35" s="40"/>
      <c r="I35" s="48">
        <v>87925.0</v>
      </c>
    </row>
    <row r="36">
      <c r="A36" s="57">
        <v>45728.0</v>
      </c>
      <c r="B36" s="55"/>
      <c r="C36" s="56"/>
      <c r="D36" s="56"/>
      <c r="E36" s="56"/>
      <c r="F36" s="56"/>
      <c r="G36" s="40">
        <v>71325.0</v>
      </c>
      <c r="H36" s="40"/>
      <c r="I36" s="48">
        <v>71325.0</v>
      </c>
    </row>
    <row r="37">
      <c r="A37" s="57">
        <v>45769.0</v>
      </c>
      <c r="B37" s="55"/>
      <c r="C37" s="56"/>
      <c r="D37" s="56"/>
      <c r="E37" s="56"/>
      <c r="F37" s="56"/>
      <c r="G37" s="40">
        <v>86825.0</v>
      </c>
      <c r="H37" s="40"/>
      <c r="I37" s="48">
        <v>86825.0</v>
      </c>
    </row>
    <row r="38">
      <c r="A38" s="57">
        <v>45804.0</v>
      </c>
      <c r="B38" s="55"/>
      <c r="C38" s="56"/>
      <c r="D38" s="56"/>
      <c r="E38" s="56"/>
      <c r="F38" s="56"/>
      <c r="G38" s="40">
        <v>108325.0</v>
      </c>
      <c r="H38" s="40"/>
      <c r="I38" s="48"/>
    </row>
    <row r="39">
      <c r="A39" s="57">
        <v>45831.0</v>
      </c>
      <c r="B39" s="55"/>
      <c r="C39" s="56"/>
      <c r="D39" s="56"/>
      <c r="E39" s="56"/>
      <c r="F39" s="56"/>
      <c r="G39" s="40"/>
      <c r="H39" s="40">
        <v>-10847.29</v>
      </c>
      <c r="I39" s="48"/>
    </row>
    <row r="40">
      <c r="A40" s="57">
        <v>45853.0</v>
      </c>
      <c r="B40" s="55"/>
      <c r="C40" s="56"/>
      <c r="D40" s="56"/>
      <c r="E40" s="56"/>
      <c r="F40" s="56"/>
      <c r="G40" s="40">
        <v>38274.0</v>
      </c>
      <c r="H40" s="40"/>
      <c r="I40" s="48"/>
    </row>
    <row r="41">
      <c r="A41" s="57">
        <v>45890.0</v>
      </c>
      <c r="B41" s="55"/>
      <c r="C41" s="59">
        <v>-3000.0</v>
      </c>
      <c r="D41" s="56"/>
      <c r="E41" s="56"/>
      <c r="F41" s="56"/>
      <c r="G41" s="40"/>
      <c r="H41" s="40"/>
      <c r="I41" s="48"/>
    </row>
    <row r="42">
      <c r="A42" s="57">
        <v>45902.0</v>
      </c>
      <c r="B42" s="55"/>
      <c r="C42" s="56"/>
      <c r="D42" s="56"/>
      <c r="E42" s="56"/>
      <c r="F42" s="56"/>
      <c r="G42" s="40">
        <v>29825.0</v>
      </c>
      <c r="H42" s="40"/>
      <c r="I42" s="48"/>
    </row>
    <row r="43">
      <c r="A43" s="57">
        <v>45903.0</v>
      </c>
      <c r="B43" s="55"/>
      <c r="C43" s="59">
        <v>3000.0</v>
      </c>
      <c r="D43" s="56"/>
      <c r="E43" s="56"/>
      <c r="F43" s="56"/>
      <c r="G43" s="40"/>
      <c r="H43" s="40"/>
      <c r="I43" s="48"/>
    </row>
    <row r="44">
      <c r="A44" s="57">
        <v>45922.0</v>
      </c>
      <c r="B44" s="55"/>
      <c r="C44" s="56"/>
      <c r="D44" s="56"/>
      <c r="E44" s="56"/>
      <c r="F44" s="56"/>
      <c r="G44" s="40">
        <v>26325.0</v>
      </c>
      <c r="H44" s="40"/>
      <c r="I44" s="48"/>
    </row>
    <row r="45">
      <c r="A45" s="57">
        <v>45922.0</v>
      </c>
      <c r="B45" s="55"/>
      <c r="C45" s="59">
        <v>20000.0</v>
      </c>
      <c r="D45" s="56"/>
      <c r="E45" s="56"/>
      <c r="F45" s="56"/>
      <c r="G45" s="40"/>
      <c r="H45" s="40"/>
      <c r="I45" s="48"/>
    </row>
    <row r="46">
      <c r="A46" s="57">
        <v>45926.0</v>
      </c>
      <c r="B46" s="55"/>
      <c r="C46" s="59">
        <v>-20000.0</v>
      </c>
      <c r="D46" s="59"/>
      <c r="E46" s="56"/>
      <c r="F46" s="59"/>
      <c r="G46" s="40"/>
      <c r="H46" s="40"/>
      <c r="I46" s="48"/>
    </row>
    <row r="47">
      <c r="A47" s="57">
        <v>45932.0</v>
      </c>
      <c r="B47" s="60">
        <v>12500.0</v>
      </c>
      <c r="C47" s="59"/>
      <c r="D47" s="59"/>
      <c r="E47" s="56"/>
      <c r="F47" s="59">
        <v>10000.0</v>
      </c>
      <c r="G47" s="40"/>
      <c r="H47" s="40"/>
      <c r="I47" s="48"/>
    </row>
    <row r="48">
      <c r="A48" s="57">
        <v>45937.0</v>
      </c>
      <c r="B48" s="55"/>
      <c r="C48" s="56"/>
      <c r="D48" s="56"/>
      <c r="E48" s="56"/>
      <c r="F48" s="56"/>
      <c r="G48" s="40">
        <v>23825.0</v>
      </c>
      <c r="H48" s="40"/>
      <c r="I48" s="48"/>
    </row>
    <row r="49">
      <c r="A49" s="57">
        <v>45951.0</v>
      </c>
      <c r="B49" s="55"/>
      <c r="C49" s="59">
        <v>10000.0</v>
      </c>
      <c r="D49" s="59"/>
      <c r="E49" s="56"/>
      <c r="F49" s="56"/>
      <c r="G49" s="40"/>
      <c r="H49" s="40"/>
      <c r="I49" s="48"/>
    </row>
    <row r="50">
      <c r="A50" s="57">
        <v>45953.0</v>
      </c>
      <c r="B50" s="55"/>
      <c r="C50" s="56"/>
      <c r="D50" s="56"/>
      <c r="E50" s="59">
        <v>5000.0</v>
      </c>
      <c r="F50" s="56"/>
      <c r="G50" s="40">
        <v>11325.0</v>
      </c>
      <c r="H50" s="40"/>
      <c r="I50" s="48"/>
    </row>
    <row r="51">
      <c r="A51" s="57">
        <v>45967.0</v>
      </c>
      <c r="B51" s="60"/>
      <c r="C51" s="59">
        <v>1000.0</v>
      </c>
      <c r="D51" s="56"/>
      <c r="E51" s="59"/>
      <c r="F51" s="56"/>
      <c r="G51" s="40"/>
      <c r="H51" s="40"/>
      <c r="I51" s="48"/>
    </row>
    <row r="52">
      <c r="A52" s="57">
        <v>45968.0</v>
      </c>
      <c r="B52" s="60"/>
      <c r="C52" s="59"/>
      <c r="D52" s="56"/>
      <c r="E52" s="59"/>
      <c r="F52" s="56"/>
      <c r="G52" s="40">
        <v>38825.0</v>
      </c>
      <c r="H52" s="40"/>
      <c r="I52" s="48"/>
    </row>
    <row r="53">
      <c r="A53" s="57">
        <v>45973.0</v>
      </c>
      <c r="B53" s="60"/>
      <c r="C53" s="59">
        <v>-2000.0</v>
      </c>
      <c r="D53" s="56"/>
      <c r="E53" s="59"/>
      <c r="F53" s="56"/>
      <c r="G53" s="40"/>
      <c r="H53" s="40"/>
      <c r="I53" s="48"/>
    </row>
    <row r="54">
      <c r="A54" s="57">
        <v>45974.0</v>
      </c>
      <c r="B54" s="60"/>
      <c r="C54" s="59"/>
      <c r="D54" s="56"/>
      <c r="E54" s="59"/>
      <c r="F54" s="56"/>
      <c r="G54" s="40"/>
      <c r="H54" s="40">
        <v>-12000.0</v>
      </c>
      <c r="I54" s="48"/>
    </row>
    <row r="55">
      <c r="A55" s="57">
        <v>45982.0</v>
      </c>
      <c r="B55" s="60"/>
      <c r="C55" s="59">
        <v>10000.0</v>
      </c>
      <c r="D55" s="56"/>
      <c r="E55" s="59"/>
      <c r="F55" s="56"/>
      <c r="G55" s="40"/>
      <c r="H55" s="40"/>
      <c r="I55" s="48"/>
    </row>
    <row r="56">
      <c r="A56" s="57">
        <v>45987.0</v>
      </c>
      <c r="B56" s="60"/>
      <c r="C56" s="59">
        <v>10000.0</v>
      </c>
      <c r="D56" s="56"/>
      <c r="E56" s="59"/>
      <c r="F56" s="56"/>
      <c r="G56" s="40"/>
      <c r="H56" s="40"/>
      <c r="I56" s="48"/>
    </row>
    <row r="57">
      <c r="A57" s="57">
        <v>45994.0</v>
      </c>
      <c r="B57" s="60"/>
      <c r="C57" s="59">
        <v>10000.0</v>
      </c>
      <c r="D57" s="56"/>
      <c r="E57" s="59"/>
      <c r="F57" s="56"/>
      <c r="G57" s="40"/>
      <c r="H57" s="40"/>
      <c r="I57" s="48"/>
    </row>
    <row r="58">
      <c r="A58" s="57">
        <v>45996.0</v>
      </c>
      <c r="B58" s="60"/>
      <c r="C58" s="59"/>
      <c r="D58" s="56"/>
      <c r="E58" s="59"/>
      <c r="F58" s="56"/>
      <c r="G58" s="40">
        <v>67725.0</v>
      </c>
      <c r="H58" s="40"/>
      <c r="I58" s="48"/>
    </row>
    <row r="59">
      <c r="A59" s="57">
        <v>46010.0</v>
      </c>
      <c r="B59" s="60">
        <v>20000.0</v>
      </c>
      <c r="C59" s="59"/>
      <c r="D59" s="56"/>
      <c r="E59" s="59"/>
      <c r="F59" s="56"/>
      <c r="G59" s="40"/>
      <c r="H59" s="40"/>
      <c r="I59" s="48"/>
    </row>
    <row r="60">
      <c r="A60" s="57">
        <v>46024.0</v>
      </c>
      <c r="B60" s="60"/>
      <c r="C60" s="59"/>
      <c r="D60" s="56"/>
      <c r="E60" s="59"/>
      <c r="F60" s="56"/>
      <c r="G60" s="40">
        <v>83725.0</v>
      </c>
      <c r="H60" s="40"/>
      <c r="I60" s="48"/>
    </row>
    <row r="61">
      <c r="A61" s="57">
        <v>46034.0</v>
      </c>
      <c r="B61" s="60">
        <v>-20000.0</v>
      </c>
      <c r="C61" s="59" t="s">
        <v>39</v>
      </c>
      <c r="D61" s="56"/>
      <c r="E61" s="59"/>
      <c r="F61" s="56"/>
      <c r="G61" s="40"/>
      <c r="H61" s="40"/>
      <c r="I61" s="48"/>
    </row>
    <row r="62">
      <c r="A62" s="57">
        <v>46055.0</v>
      </c>
      <c r="B62" s="60"/>
      <c r="C62" s="59">
        <v>-5000.0</v>
      </c>
      <c r="D62" s="56"/>
      <c r="E62" s="59"/>
      <c r="F62" s="56"/>
      <c r="G62" s="40"/>
      <c r="H62" s="40"/>
      <c r="I62" s="48"/>
    </row>
    <row r="63">
      <c r="A63" s="57">
        <v>46072.0</v>
      </c>
      <c r="B63" s="60"/>
      <c r="C63" s="59"/>
      <c r="D63" s="56"/>
      <c r="E63" s="59"/>
      <c r="F63" s="56"/>
      <c r="G63" s="40">
        <v>24825.0</v>
      </c>
      <c r="H63" s="40"/>
      <c r="I63" s="48"/>
    </row>
    <row r="64">
      <c r="A64" s="57">
        <v>46077.0</v>
      </c>
      <c r="B64" s="60"/>
      <c r="C64" s="59"/>
      <c r="D64" s="56"/>
      <c r="E64" s="59"/>
      <c r="F64" s="56"/>
      <c r="G64" s="40">
        <v>24825.0</v>
      </c>
      <c r="H64" s="40"/>
      <c r="I64" s="48"/>
    </row>
    <row r="65">
      <c r="A65" s="57">
        <v>46085.0</v>
      </c>
      <c r="B65" s="60"/>
      <c r="C65" s="59">
        <v>5000.0</v>
      </c>
      <c r="D65" s="56"/>
      <c r="E65" s="59"/>
      <c r="F65" s="56"/>
      <c r="G65" s="40"/>
      <c r="H65" s="40"/>
      <c r="I65" s="48"/>
    </row>
    <row r="66">
      <c r="A66" s="57">
        <v>46087.0</v>
      </c>
      <c r="B66" s="60"/>
      <c r="C66" s="59"/>
      <c r="D66" s="56"/>
      <c r="E66" s="59"/>
      <c r="F66" s="56"/>
      <c r="G66" s="40">
        <v>37825.0</v>
      </c>
      <c r="H66" s="40"/>
      <c r="I66" s="48"/>
    </row>
    <row r="67">
      <c r="A67" s="57">
        <v>46083.0</v>
      </c>
      <c r="B67" s="60"/>
      <c r="C67" s="59">
        <v>-20000.0</v>
      </c>
      <c r="D67" s="56"/>
      <c r="E67" s="59"/>
      <c r="F67" s="56"/>
      <c r="G67" s="40"/>
      <c r="H67" s="40"/>
      <c r="I67" s="48"/>
    </row>
    <row r="68">
      <c r="A68" s="57">
        <v>46134.0</v>
      </c>
      <c r="B68" s="60"/>
      <c r="C68" s="59"/>
      <c r="D68" s="56"/>
      <c r="E68" s="59"/>
      <c r="F68" s="56"/>
      <c r="G68" s="40"/>
      <c r="H68" s="40">
        <v>-5000.0</v>
      </c>
      <c r="I68" s="48"/>
    </row>
    <row r="69">
      <c r="A69" s="57">
        <v>46140.0</v>
      </c>
      <c r="B69" s="60"/>
      <c r="C69" s="59"/>
      <c r="D69" s="56"/>
      <c r="E69" s="59"/>
      <c r="F69" s="56"/>
      <c r="G69" s="40"/>
      <c r="H69" s="40">
        <v>-20000.0</v>
      </c>
      <c r="I69" s="48"/>
    </row>
    <row r="70">
      <c r="A70" s="57">
        <v>46140.0</v>
      </c>
      <c r="B70" s="60"/>
      <c r="C70" s="59"/>
      <c r="D70" s="56"/>
      <c r="E70" s="59"/>
      <c r="F70" s="56"/>
      <c r="G70" s="40"/>
      <c r="H70" s="40">
        <v>-2000.0</v>
      </c>
      <c r="I70" s="48"/>
    </row>
    <row r="71">
      <c r="A71" s="57">
        <v>46153.0</v>
      </c>
      <c r="B71" s="60"/>
      <c r="C71" s="59"/>
      <c r="D71" s="56"/>
      <c r="E71" s="59"/>
      <c r="F71" s="56"/>
      <c r="G71" s="40">
        <v>65017.0</v>
      </c>
      <c r="H71" s="40"/>
      <c r="I71" s="48"/>
    </row>
    <row r="72">
      <c r="A72" s="57">
        <v>46209.0</v>
      </c>
      <c r="B72" s="60"/>
      <c r="C72" s="59"/>
      <c r="D72" s="56"/>
      <c r="E72" s="59"/>
      <c r="F72" s="56"/>
      <c r="G72" s="40"/>
      <c r="H72" s="40">
        <v>-10000.0</v>
      </c>
      <c r="I72" s="48"/>
    </row>
    <row r="73">
      <c r="A73" s="57">
        <v>46213.0</v>
      </c>
      <c r="B73" s="60"/>
      <c r="C73" s="59">
        <v>10000.0</v>
      </c>
      <c r="D73" s="56"/>
      <c r="E73" s="59"/>
      <c r="F73" s="56"/>
      <c r="G73" s="40"/>
      <c r="H73" s="40"/>
      <c r="I73" s="48"/>
    </row>
    <row r="74">
      <c r="A74" s="57">
        <v>46234.0</v>
      </c>
      <c r="B74" s="60"/>
      <c r="C74" s="59"/>
      <c r="D74" s="56"/>
      <c r="E74" s="59"/>
      <c r="F74" s="56"/>
      <c r="G74" s="40"/>
      <c r="H74" s="40">
        <v>-10000.0</v>
      </c>
      <c r="I74" s="48"/>
    </row>
    <row r="75">
      <c r="A75" s="57">
        <v>46244.0</v>
      </c>
      <c r="B75" s="60"/>
      <c r="C75" s="59"/>
      <c r="D75" s="56"/>
      <c r="E75" s="59"/>
      <c r="F75" s="56"/>
      <c r="G75" s="40"/>
      <c r="H75" s="40">
        <v>-1000.0</v>
      </c>
      <c r="I75" s="48"/>
    </row>
    <row r="76">
      <c r="A76" s="57">
        <v>46254.0</v>
      </c>
      <c r="B76" s="60"/>
      <c r="C76" s="59"/>
      <c r="D76" s="56"/>
      <c r="E76" s="59"/>
      <c r="F76" s="56"/>
      <c r="G76" s="40"/>
      <c r="H76" s="40">
        <v>-15000.0</v>
      </c>
      <c r="I76" s="48"/>
    </row>
    <row r="77">
      <c r="A77" s="61" t="s">
        <v>27</v>
      </c>
      <c r="B77" s="62">
        <f>sum(B19:B64)</f>
        <v>128750</v>
      </c>
      <c r="C77" s="63">
        <f>sum(C19:C74)</f>
        <v>114000</v>
      </c>
      <c r="D77" s="63">
        <f t="shared" ref="D77:F77" si="3">sum(D19:D50)</f>
        <v>100000</v>
      </c>
      <c r="E77" s="63">
        <f t="shared" si="3"/>
        <v>50000</v>
      </c>
      <c r="F77" s="63">
        <f t="shared" si="3"/>
        <v>95000</v>
      </c>
      <c r="G77" s="64">
        <f>SUM(G19:G71)</f>
        <v>969197.25</v>
      </c>
      <c r="H77" s="64">
        <f>sum(H19:H76)</f>
        <v>-85000.79</v>
      </c>
      <c r="I77" s="66">
        <f>sum(I19:I40)</f>
        <v>820934.75</v>
      </c>
    </row>
    <row r="78">
      <c r="A78" s="67" t="s">
        <v>51</v>
      </c>
      <c r="B78" s="68">
        <f>C5-B77</f>
        <v>-10000</v>
      </c>
      <c r="C78" s="69">
        <f>C7-C77</f>
        <v>-19000</v>
      </c>
      <c r="D78" s="69">
        <f>C6-D77</f>
        <v>18750</v>
      </c>
      <c r="E78" s="69">
        <f>C9-E77</f>
        <v>-2500</v>
      </c>
      <c r="F78" s="69">
        <f>C8-F77</f>
        <v>0</v>
      </c>
      <c r="G78" s="70">
        <f>C11-G77</f>
        <v>-969197.25</v>
      </c>
      <c r="H78" s="71">
        <f>C11-H77+0.79-0.79</f>
        <v>85000.79</v>
      </c>
      <c r="I78" s="66">
        <f>sum(I19:I40)</f>
        <v>820934.75</v>
      </c>
    </row>
    <row r="79">
      <c r="A79" s="72"/>
      <c r="B79" s="2"/>
      <c r="C79" s="2"/>
      <c r="D79" s="2"/>
      <c r="E79" s="2"/>
      <c r="F79" s="2"/>
      <c r="G79" s="2"/>
    </row>
    <row r="80">
      <c r="A80" s="72"/>
      <c r="B80" s="2"/>
      <c r="C80" s="2"/>
      <c r="D80" s="2"/>
      <c r="E80" s="2"/>
      <c r="F80" s="2"/>
      <c r="G80" s="2"/>
    </row>
    <row r="81">
      <c r="A81" s="72"/>
      <c r="B81" s="2"/>
      <c r="C81" s="2"/>
      <c r="D81" s="2"/>
      <c r="E81" s="2"/>
      <c r="F81" s="2"/>
      <c r="G81" s="2"/>
    </row>
    <row r="82">
      <c r="A82" s="72"/>
      <c r="B82" s="2"/>
      <c r="C82" s="2"/>
      <c r="D82" s="2"/>
      <c r="E82" s="2"/>
      <c r="F82" s="2"/>
      <c r="G82" s="2"/>
    </row>
    <row r="83">
      <c r="A83" s="72"/>
      <c r="B83" s="2"/>
      <c r="C83" s="2"/>
      <c r="D83" s="2"/>
      <c r="E83" s="2"/>
      <c r="F83" s="2"/>
      <c r="G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</sheetData>
  <mergeCells count="2">
    <mergeCell ref="A17:A18"/>
    <mergeCell ref="B17:I17"/>
  </mergeCells>
  <conditionalFormatting sqref="B78:G78">
    <cfRule type="cellIs" dxfId="0" priority="1" operator="greaterThan">
      <formula>0</formula>
    </cfRule>
  </conditionalFormatting>
  <conditionalFormatting sqref="B78:G78">
    <cfRule type="cellIs" dxfId="1" priority="2" operator="lessThan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</cols>
  <sheetData>
    <row r="1">
      <c r="A1" s="6" t="s">
        <v>2</v>
      </c>
      <c r="B1" s="6" t="s">
        <v>3</v>
      </c>
      <c r="C1" s="8" t="s">
        <v>4</v>
      </c>
      <c r="D1" s="3" t="s">
        <v>5</v>
      </c>
    </row>
    <row r="2">
      <c r="A2" s="9">
        <v>45517.0</v>
      </c>
      <c r="C2" s="6" t="s">
        <v>6</v>
      </c>
      <c r="D2" s="3">
        <v>12.78</v>
      </c>
      <c r="F2" s="6" t="s">
        <v>7</v>
      </c>
      <c r="G2" s="2">
        <f>sum(D2:D999998)</f>
        <v>171.88</v>
      </c>
    </row>
    <row r="3">
      <c r="A3" s="9">
        <v>45519.0</v>
      </c>
      <c r="C3" s="6" t="s">
        <v>13</v>
      </c>
      <c r="D3" s="3">
        <v>38.64</v>
      </c>
    </row>
    <row r="4">
      <c r="A4" s="9">
        <v>45558.0</v>
      </c>
      <c r="C4" s="6" t="s">
        <v>14</v>
      </c>
      <c r="D4" s="3">
        <v>120.46</v>
      </c>
    </row>
    <row r="5">
      <c r="D5" s="2"/>
    </row>
    <row r="6">
      <c r="D6" s="2"/>
    </row>
    <row r="7">
      <c r="D7" s="2"/>
    </row>
    <row r="8">
      <c r="D8" s="2"/>
    </row>
    <row r="9">
      <c r="D9" s="2"/>
    </row>
    <row r="10">
      <c r="D10" s="2"/>
    </row>
    <row r="11">
      <c r="D11" s="2"/>
    </row>
    <row r="12">
      <c r="D12" s="2"/>
    </row>
    <row r="13">
      <c r="D13" s="2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>
      <c r="D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5" t="s">
        <v>8</v>
      </c>
      <c r="B1" s="5" t="s">
        <v>9</v>
      </c>
      <c r="C1" s="5" t="s">
        <v>5</v>
      </c>
    </row>
    <row r="2">
      <c r="A2" s="5">
        <v>1.0</v>
      </c>
      <c r="B2" s="5" t="s">
        <v>11</v>
      </c>
      <c r="C2" s="10">
        <f>'Construction Expenses'!G1</f>
        <v>848210.56</v>
      </c>
    </row>
    <row r="3">
      <c r="A3" s="5">
        <v>2.0</v>
      </c>
      <c r="B3" s="5" t="s">
        <v>18</v>
      </c>
      <c r="C3" s="10">
        <f>'Bank fees'!G2</f>
        <v>191.6</v>
      </c>
    </row>
    <row r="4">
      <c r="A4" s="5">
        <v>3.0</v>
      </c>
      <c r="B4" s="5" t="s">
        <v>25</v>
      </c>
      <c r="C4" s="10">
        <f>'Muncipality Expenses'!G1</f>
        <v>6398.25</v>
      </c>
      <c r="F4" s="2">
        <f>sum(C2+C3+C7+C8+C9+C10)</f>
        <v>1027445.99</v>
      </c>
    </row>
    <row r="5">
      <c r="A5" s="5">
        <v>4.0</v>
      </c>
      <c r="B5" s="5" t="s">
        <v>28</v>
      </c>
      <c r="C5" s="10">
        <f>'Land acquisition'!F2</f>
        <v>377367.94</v>
      </c>
      <c r="H5" s="6">
        <v>715.0</v>
      </c>
    </row>
    <row r="6">
      <c r="A6" s="5">
        <v>5.0</v>
      </c>
      <c r="B6" s="5" t="s">
        <v>29</v>
      </c>
      <c r="C6" s="10">
        <f>'Loan Payment'!F2</f>
        <v>152379.49</v>
      </c>
      <c r="H6" s="6">
        <v>129.0</v>
      </c>
    </row>
    <row r="7">
      <c r="A7" s="5">
        <v>6.0</v>
      </c>
      <c r="B7" s="5" t="s">
        <v>31</v>
      </c>
      <c r="C7" s="10">
        <f>Misc.!G2</f>
        <v>2923.95</v>
      </c>
      <c r="D7" s="2">
        <f>sum(C2+C8)</f>
        <v>1021608.56</v>
      </c>
      <c r="L7" s="6">
        <v>500.0</v>
      </c>
      <c r="N7" s="6">
        <v>1900.0</v>
      </c>
    </row>
    <row r="8">
      <c r="A8" s="5">
        <v>7.0</v>
      </c>
      <c r="B8" s="5" t="s">
        <v>34</v>
      </c>
      <c r="C8" s="10">
        <f>Labour!G1</f>
        <v>173398</v>
      </c>
      <c r="L8" s="6">
        <v>550.0</v>
      </c>
      <c r="N8" s="20">
        <f>N7*0.07</f>
        <v>133</v>
      </c>
    </row>
    <row r="9">
      <c r="A9" s="5">
        <v>8.0</v>
      </c>
      <c r="B9" s="5" t="s">
        <v>35</v>
      </c>
      <c r="C9" s="10">
        <f>'Soft Cost'!G2</f>
        <v>171.88</v>
      </c>
      <c r="L9" s="6">
        <v>550.0</v>
      </c>
      <c r="N9" s="20">
        <f>N7-N8</f>
        <v>1767</v>
      </c>
    </row>
    <row r="10">
      <c r="A10" s="5">
        <v>9.0</v>
      </c>
      <c r="B10" s="5" t="s">
        <v>36</v>
      </c>
      <c r="C10" s="10">
        <f>'Accounting &amp; Legal'!G1</f>
        <v>2550</v>
      </c>
      <c r="L10" s="6">
        <v>300.0</v>
      </c>
    </row>
    <row r="11">
      <c r="A11" s="21"/>
      <c r="B11" s="21"/>
      <c r="C11" s="21"/>
      <c r="E11" s="2">
        <f>C14-C5</f>
        <v>1186223.73</v>
      </c>
      <c r="I11" s="2">
        <f>C14-C5</f>
        <v>1186223.73</v>
      </c>
    </row>
    <row r="12">
      <c r="A12" s="21"/>
      <c r="B12" s="21"/>
      <c r="C12" s="21"/>
    </row>
    <row r="13">
      <c r="A13" s="21"/>
      <c r="B13" s="21"/>
      <c r="C13" s="21"/>
    </row>
    <row r="14">
      <c r="A14" s="21"/>
      <c r="B14" s="5" t="s">
        <v>38</v>
      </c>
      <c r="C14" s="10">
        <f>sum(C2:C10)</f>
        <v>1563591.67</v>
      </c>
    </row>
    <row r="15">
      <c r="A15" s="21"/>
      <c r="B15" s="21"/>
      <c r="C15" s="21"/>
      <c r="G15" s="2">
        <f>sum(C14-C5)</f>
        <v>1186223.73</v>
      </c>
    </row>
    <row r="16">
      <c r="E16" s="2">
        <f>C14-C5</f>
        <v>1186223.73</v>
      </c>
    </row>
    <row r="17">
      <c r="A17" s="5"/>
      <c r="B17" s="5"/>
      <c r="C17" s="5"/>
    </row>
    <row r="18">
      <c r="A18" s="5"/>
      <c r="B18" s="5"/>
      <c r="C18" s="21"/>
      <c r="E18" s="2">
        <f>C14-C5-C6</f>
        <v>1033844.24</v>
      </c>
    </row>
    <row r="19">
      <c r="A19" s="5"/>
      <c r="B19" s="5"/>
      <c r="C19" s="21"/>
    </row>
    <row r="20">
      <c r="A20" s="5"/>
      <c r="B20" s="5"/>
      <c r="C20" s="21"/>
    </row>
    <row r="21">
      <c r="A21" s="5"/>
      <c r="B21" s="5"/>
      <c r="C21" s="21"/>
    </row>
    <row r="22">
      <c r="A22" s="5"/>
      <c r="B22" s="5"/>
      <c r="C22" s="21"/>
    </row>
    <row r="23">
      <c r="A23" s="5"/>
      <c r="B23" s="5"/>
      <c r="C23" s="21"/>
    </row>
    <row r="24">
      <c r="A24" s="5"/>
      <c r="B24" s="5"/>
      <c r="C24" s="21"/>
    </row>
    <row r="25">
      <c r="A25" s="21"/>
      <c r="B25" s="21"/>
      <c r="C25" s="21"/>
    </row>
    <row r="26">
      <c r="A26" s="21"/>
      <c r="B26" s="21"/>
      <c r="C26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2"/>
      <c r="C1" s="13"/>
      <c r="D1" s="13"/>
      <c r="E1" s="13"/>
      <c r="F1" s="13"/>
      <c r="G1" s="13"/>
    </row>
    <row r="2">
      <c r="A2" s="14" t="s">
        <v>17</v>
      </c>
      <c r="B2" s="15" t="s">
        <v>19</v>
      </c>
      <c r="C2" s="16" t="s">
        <v>20</v>
      </c>
      <c r="D2" s="16" t="s">
        <v>21</v>
      </c>
      <c r="E2" s="16" t="s">
        <v>22</v>
      </c>
      <c r="F2" s="16" t="s">
        <v>23</v>
      </c>
      <c r="G2" s="16" t="s">
        <v>24</v>
      </c>
    </row>
    <row r="3">
      <c r="A3" s="17"/>
      <c r="B3" s="18"/>
      <c r="C3" s="19"/>
      <c r="D3" s="19"/>
      <c r="E3" s="19"/>
      <c r="F3" s="13"/>
      <c r="G3" s="19">
        <f t="shared" ref="G3:G5" si="1">sum(C3-D3-E3)+F3</f>
        <v>0</v>
      </c>
    </row>
    <row r="4">
      <c r="A4" s="17"/>
      <c r="B4" s="18"/>
      <c r="C4" s="19"/>
      <c r="D4" s="19"/>
      <c r="E4" s="19"/>
      <c r="F4" s="13"/>
      <c r="G4" s="19">
        <f t="shared" si="1"/>
        <v>0</v>
      </c>
    </row>
    <row r="5">
      <c r="A5" s="17"/>
      <c r="B5" s="18"/>
      <c r="C5" s="19"/>
      <c r="D5" s="19"/>
      <c r="E5" s="13"/>
      <c r="F5" s="13"/>
      <c r="G5" s="19">
        <f t="shared" si="1"/>
        <v>0</v>
      </c>
    </row>
    <row r="6">
      <c r="A6" s="27"/>
      <c r="B6" s="15" t="s">
        <v>27</v>
      </c>
      <c r="C6" s="28">
        <f t="shared" ref="C6:F6" si="2">sum(C3:C5)</f>
        <v>0</v>
      </c>
      <c r="D6" s="28">
        <f t="shared" si="2"/>
        <v>0</v>
      </c>
      <c r="E6" s="28">
        <f t="shared" si="2"/>
        <v>0</v>
      </c>
      <c r="F6" s="28">
        <f t="shared" si="2"/>
        <v>0</v>
      </c>
      <c r="G6" s="28">
        <f>sum(C6-D6-E6)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63"/>
    <col customWidth="1" min="5" max="5" width="11.13"/>
    <col customWidth="1" min="6" max="6" width="10.25"/>
  </cols>
  <sheetData>
    <row r="1">
      <c r="A1" s="6" t="s">
        <v>2</v>
      </c>
      <c r="B1" s="6" t="s">
        <v>3</v>
      </c>
      <c r="C1" s="8" t="s">
        <v>4</v>
      </c>
      <c r="D1" s="3" t="s">
        <v>5</v>
      </c>
      <c r="F1" s="6" t="s">
        <v>27</v>
      </c>
      <c r="G1" s="2">
        <f>sum(D4:D9991)</f>
        <v>173398</v>
      </c>
      <c r="H1" s="8" t="s">
        <v>40</v>
      </c>
      <c r="I1" s="2">
        <f>sum(D40:D221)</f>
        <v>91388.85</v>
      </c>
    </row>
    <row r="2">
      <c r="A2" s="9">
        <v>45597.0</v>
      </c>
      <c r="B2" s="6" t="s">
        <v>41</v>
      </c>
      <c r="C2" s="6" t="s">
        <v>42</v>
      </c>
      <c r="D2" s="3">
        <v>155.0</v>
      </c>
    </row>
    <row r="3">
      <c r="A3" s="9">
        <v>45597.0</v>
      </c>
      <c r="B3" s="6" t="s">
        <v>43</v>
      </c>
      <c r="C3" s="6" t="s">
        <v>44</v>
      </c>
      <c r="D3" s="3">
        <v>155.0</v>
      </c>
    </row>
    <row r="4">
      <c r="A4" s="65">
        <v>45611.0</v>
      </c>
      <c r="B4" s="6" t="s">
        <v>45</v>
      </c>
      <c r="C4" s="6" t="s">
        <v>42</v>
      </c>
      <c r="D4" s="3">
        <v>1280.0</v>
      </c>
    </row>
    <row r="5">
      <c r="A5" s="65">
        <v>45611.0</v>
      </c>
      <c r="B5" s="6" t="s">
        <v>46</v>
      </c>
      <c r="C5" s="6" t="s">
        <v>44</v>
      </c>
      <c r="D5" s="3">
        <v>950.0</v>
      </c>
    </row>
    <row r="6">
      <c r="A6" s="65">
        <v>45614.0</v>
      </c>
      <c r="B6" s="6" t="s">
        <v>47</v>
      </c>
      <c r="C6" s="6" t="s">
        <v>48</v>
      </c>
      <c r="D6" s="3">
        <v>695.0</v>
      </c>
    </row>
    <row r="7">
      <c r="A7" s="65">
        <v>45614.0</v>
      </c>
      <c r="B7" s="6" t="s">
        <v>49</v>
      </c>
      <c r="C7" s="6" t="s">
        <v>50</v>
      </c>
      <c r="D7" s="3">
        <v>545.0</v>
      </c>
    </row>
    <row r="8">
      <c r="A8" s="65">
        <v>45614.0</v>
      </c>
      <c r="B8" s="6" t="s">
        <v>52</v>
      </c>
      <c r="C8" s="6" t="s">
        <v>53</v>
      </c>
      <c r="D8" s="3">
        <v>405.0</v>
      </c>
    </row>
    <row r="9">
      <c r="A9" s="65">
        <v>45614.0</v>
      </c>
      <c r="B9" s="6" t="s">
        <v>54</v>
      </c>
      <c r="C9" s="6" t="s">
        <v>55</v>
      </c>
      <c r="D9" s="3">
        <v>310.0</v>
      </c>
      <c r="E9" s="6" t="s">
        <v>56</v>
      </c>
      <c r="I9" s="6" t="s">
        <v>57</v>
      </c>
    </row>
    <row r="10">
      <c r="A10" s="65">
        <v>45615.0</v>
      </c>
      <c r="B10" s="6" t="s">
        <v>58</v>
      </c>
      <c r="C10" s="6" t="s">
        <v>59</v>
      </c>
      <c r="D10" s="3">
        <v>700.0</v>
      </c>
    </row>
    <row r="11">
      <c r="A11" s="65">
        <v>45621.0</v>
      </c>
      <c r="B11" s="6" t="s">
        <v>60</v>
      </c>
      <c r="C11" s="6" t="s">
        <v>61</v>
      </c>
      <c r="D11" s="3">
        <v>465.0</v>
      </c>
    </row>
    <row r="12">
      <c r="A12" s="65">
        <v>45625.0</v>
      </c>
      <c r="B12" s="6" t="s">
        <v>62</v>
      </c>
      <c r="C12" s="6" t="s">
        <v>50</v>
      </c>
      <c r="D12" s="3">
        <v>410.0</v>
      </c>
    </row>
    <row r="13">
      <c r="A13" s="65">
        <v>45625.0</v>
      </c>
      <c r="B13" s="6" t="s">
        <v>63</v>
      </c>
      <c r="C13" s="6" t="s">
        <v>42</v>
      </c>
      <c r="D13" s="3">
        <v>580.0</v>
      </c>
    </row>
    <row r="14">
      <c r="A14" s="65">
        <v>45625.0</v>
      </c>
      <c r="B14" s="6" t="s">
        <v>64</v>
      </c>
      <c r="C14" s="6" t="s">
        <v>53</v>
      </c>
      <c r="D14" s="3">
        <v>405.0</v>
      </c>
    </row>
    <row r="15">
      <c r="A15" s="9">
        <v>45628.0</v>
      </c>
      <c r="B15" s="6" t="s">
        <v>65</v>
      </c>
      <c r="C15" s="6" t="s">
        <v>48</v>
      </c>
      <c r="D15" s="3">
        <v>280.0</v>
      </c>
    </row>
    <row r="16">
      <c r="A16" s="9">
        <v>45628.0</v>
      </c>
      <c r="B16" s="6" t="s">
        <v>66</v>
      </c>
      <c r="C16" s="6" t="s">
        <v>67</v>
      </c>
      <c r="D16" s="3">
        <v>210.0</v>
      </c>
    </row>
    <row r="17">
      <c r="A17" s="9">
        <v>45628.0</v>
      </c>
      <c r="B17" s="6" t="s">
        <v>68</v>
      </c>
      <c r="C17" s="6" t="s">
        <v>55</v>
      </c>
      <c r="D17" s="3">
        <v>165.0</v>
      </c>
    </row>
    <row r="18">
      <c r="A18" s="9">
        <v>45628.0</v>
      </c>
      <c r="B18" s="6" t="s">
        <v>69</v>
      </c>
      <c r="C18" s="6" t="s">
        <v>70</v>
      </c>
      <c r="D18" s="3">
        <v>270.0</v>
      </c>
    </row>
    <row r="19">
      <c r="A19" s="9">
        <v>45629.0</v>
      </c>
      <c r="B19" s="6" t="s">
        <v>71</v>
      </c>
      <c r="C19" s="6" t="s">
        <v>61</v>
      </c>
      <c r="D19" s="3">
        <v>310.0</v>
      </c>
    </row>
    <row r="20">
      <c r="A20" s="9">
        <v>45630.0</v>
      </c>
      <c r="B20" s="6" t="s">
        <v>72</v>
      </c>
      <c r="C20" s="6" t="s">
        <v>44</v>
      </c>
      <c r="D20" s="3">
        <v>525.0</v>
      </c>
    </row>
    <row r="21">
      <c r="A21" s="9">
        <v>45632.0</v>
      </c>
      <c r="B21" s="6" t="s">
        <v>73</v>
      </c>
      <c r="C21" s="6" t="s">
        <v>74</v>
      </c>
      <c r="D21" s="3">
        <v>135.0</v>
      </c>
    </row>
    <row r="22">
      <c r="A22" s="9">
        <v>45635.0</v>
      </c>
      <c r="B22" s="6" t="s">
        <v>75</v>
      </c>
      <c r="C22" s="6" t="s">
        <v>55</v>
      </c>
      <c r="D22" s="3">
        <v>300.0</v>
      </c>
    </row>
    <row r="23">
      <c r="A23" s="65">
        <v>45639.0</v>
      </c>
      <c r="B23" s="6" t="s">
        <v>76</v>
      </c>
      <c r="C23" s="6" t="s">
        <v>50</v>
      </c>
      <c r="D23" s="3">
        <v>213.0</v>
      </c>
    </row>
    <row r="24">
      <c r="A24" s="65">
        <v>45642.0</v>
      </c>
      <c r="B24" s="6" t="s">
        <v>77</v>
      </c>
      <c r="C24" s="6" t="s">
        <v>78</v>
      </c>
      <c r="D24" s="3">
        <v>100.0</v>
      </c>
    </row>
    <row r="25">
      <c r="A25" s="65">
        <v>45642.0</v>
      </c>
      <c r="B25" s="6" t="s">
        <v>79</v>
      </c>
      <c r="C25" s="6" t="s">
        <v>44</v>
      </c>
      <c r="D25" s="3">
        <v>1085.0</v>
      </c>
    </row>
    <row r="26">
      <c r="A26" s="65">
        <v>45642.0</v>
      </c>
      <c r="B26" s="6" t="s">
        <v>80</v>
      </c>
      <c r="C26" s="6" t="s">
        <v>42</v>
      </c>
      <c r="D26" s="3">
        <v>1382.0</v>
      </c>
    </row>
    <row r="27">
      <c r="A27" s="65">
        <v>45642.0</v>
      </c>
      <c r="B27" s="6" t="s">
        <v>81</v>
      </c>
      <c r="C27" s="6" t="s">
        <v>74</v>
      </c>
      <c r="D27" s="3">
        <v>1080.0</v>
      </c>
    </row>
    <row r="28">
      <c r="A28" s="65">
        <v>45642.0</v>
      </c>
      <c r="B28" s="6" t="s">
        <v>82</v>
      </c>
      <c r="C28" s="6" t="s">
        <v>48</v>
      </c>
      <c r="D28" s="3">
        <v>1120.0</v>
      </c>
    </row>
    <row r="29">
      <c r="A29" s="65">
        <v>45642.0</v>
      </c>
      <c r="B29" s="6" t="s">
        <v>83</v>
      </c>
      <c r="C29" s="6" t="s">
        <v>70</v>
      </c>
      <c r="D29" s="3">
        <v>810.0</v>
      </c>
    </row>
    <row r="30">
      <c r="A30" s="65">
        <v>45642.0</v>
      </c>
      <c r="B30" s="6" t="s">
        <v>84</v>
      </c>
      <c r="C30" s="6" t="s">
        <v>53</v>
      </c>
      <c r="D30" s="3">
        <v>810.0</v>
      </c>
    </row>
    <row r="31">
      <c r="A31" s="65">
        <v>45642.0</v>
      </c>
      <c r="B31" s="6" t="s">
        <v>85</v>
      </c>
      <c r="C31" s="6" t="s">
        <v>86</v>
      </c>
      <c r="D31" s="3">
        <v>460.0</v>
      </c>
    </row>
    <row r="32">
      <c r="A32" s="65">
        <v>45643.0</v>
      </c>
      <c r="B32" s="6" t="s">
        <v>87</v>
      </c>
      <c r="C32" s="6" t="s">
        <v>61</v>
      </c>
      <c r="D32" s="3">
        <v>930.0</v>
      </c>
    </row>
    <row r="33">
      <c r="A33" s="65">
        <v>45653.0</v>
      </c>
      <c r="B33" s="6" t="s">
        <v>88</v>
      </c>
      <c r="C33" s="6" t="s">
        <v>42</v>
      </c>
      <c r="D33" s="3">
        <v>520.0</v>
      </c>
    </row>
    <row r="34">
      <c r="A34" s="65">
        <v>45653.0</v>
      </c>
      <c r="B34" s="6" t="s">
        <v>89</v>
      </c>
      <c r="C34" s="6" t="s">
        <v>44</v>
      </c>
      <c r="D34" s="3">
        <v>775.0</v>
      </c>
    </row>
    <row r="35">
      <c r="A35" s="65">
        <v>45656.0</v>
      </c>
      <c r="B35" s="6" t="s">
        <v>90</v>
      </c>
      <c r="C35" s="6" t="s">
        <v>91</v>
      </c>
      <c r="D35" s="3">
        <v>305.0</v>
      </c>
    </row>
    <row r="36">
      <c r="A36" s="65">
        <v>45656.0</v>
      </c>
      <c r="B36" s="6" t="s">
        <v>92</v>
      </c>
      <c r="C36" s="6" t="s">
        <v>50</v>
      </c>
      <c r="D36" s="3">
        <v>175.0</v>
      </c>
    </row>
    <row r="37">
      <c r="A37" s="65">
        <v>45656.0</v>
      </c>
      <c r="B37" s="6" t="s">
        <v>93</v>
      </c>
      <c r="C37" s="6" t="s">
        <v>48</v>
      </c>
      <c r="D37" s="3">
        <v>840.0</v>
      </c>
    </row>
    <row r="38">
      <c r="A38" s="65">
        <v>45656.0</v>
      </c>
      <c r="B38" s="6" t="s">
        <v>94</v>
      </c>
      <c r="C38" s="6" t="s">
        <v>53</v>
      </c>
      <c r="D38" s="3">
        <v>540.0</v>
      </c>
    </row>
    <row r="39">
      <c r="A39" s="65">
        <v>45657.0</v>
      </c>
      <c r="B39" s="6" t="s">
        <v>95</v>
      </c>
      <c r="C39" s="6" t="s">
        <v>61</v>
      </c>
      <c r="D39" s="3">
        <v>690.0</v>
      </c>
    </row>
    <row r="40">
      <c r="A40" s="9">
        <v>45663.0</v>
      </c>
      <c r="B40" s="6" t="s">
        <v>96</v>
      </c>
      <c r="C40" s="6" t="s">
        <v>70</v>
      </c>
      <c r="D40" s="3">
        <v>405.0</v>
      </c>
    </row>
    <row r="41">
      <c r="A41" s="9">
        <v>45664.0</v>
      </c>
      <c r="B41" s="6" t="s">
        <v>97</v>
      </c>
      <c r="C41" s="6" t="s">
        <v>98</v>
      </c>
      <c r="D41" s="3">
        <v>100.99</v>
      </c>
    </row>
    <row r="42">
      <c r="A42" s="9">
        <v>45667.0</v>
      </c>
      <c r="B42" s="6" t="s">
        <v>99</v>
      </c>
      <c r="C42" s="6" t="s">
        <v>50</v>
      </c>
      <c r="D42" s="3">
        <v>195.0</v>
      </c>
    </row>
    <row r="43">
      <c r="A43" s="9">
        <v>45667.0</v>
      </c>
      <c r="B43" s="6" t="s">
        <v>100</v>
      </c>
      <c r="C43" s="6" t="s">
        <v>101</v>
      </c>
      <c r="D43" s="3">
        <v>465.0</v>
      </c>
    </row>
    <row r="44">
      <c r="A44" s="9">
        <v>45670.0</v>
      </c>
      <c r="B44" s="6" t="s">
        <v>102</v>
      </c>
      <c r="C44" s="6" t="s">
        <v>74</v>
      </c>
      <c r="D44" s="3">
        <v>435.0</v>
      </c>
    </row>
    <row r="45">
      <c r="A45" s="9">
        <v>45670.0</v>
      </c>
      <c r="B45" s="6" t="s">
        <v>103</v>
      </c>
      <c r="C45" s="6" t="s">
        <v>42</v>
      </c>
      <c r="D45" s="3">
        <v>480.0</v>
      </c>
    </row>
    <row r="46">
      <c r="A46" s="9">
        <v>45670.0</v>
      </c>
      <c r="B46" s="6" t="s">
        <v>104</v>
      </c>
      <c r="C46" s="6" t="s">
        <v>105</v>
      </c>
      <c r="D46" s="3">
        <v>405.0</v>
      </c>
      <c r="E46" s="6" t="s">
        <v>106</v>
      </c>
    </row>
    <row r="47">
      <c r="A47" s="9">
        <v>45670.0</v>
      </c>
      <c r="B47" s="6" t="s">
        <v>107</v>
      </c>
      <c r="C47" s="6" t="s">
        <v>53</v>
      </c>
      <c r="D47" s="3">
        <v>1080.0</v>
      </c>
    </row>
    <row r="48">
      <c r="A48" s="9">
        <v>45672.0</v>
      </c>
      <c r="B48" s="6" t="s">
        <v>108</v>
      </c>
      <c r="C48" s="6" t="s">
        <v>109</v>
      </c>
      <c r="D48" s="3">
        <v>280.0</v>
      </c>
    </row>
    <row r="49">
      <c r="A49" s="9">
        <v>45678.0</v>
      </c>
      <c r="B49" s="6" t="s">
        <v>110</v>
      </c>
      <c r="C49" s="6" t="s">
        <v>70</v>
      </c>
      <c r="D49" s="3">
        <v>1080.0</v>
      </c>
    </row>
    <row r="50">
      <c r="A50" s="9">
        <v>45684.0</v>
      </c>
      <c r="B50" s="6" t="s">
        <v>111</v>
      </c>
      <c r="C50" s="6" t="s">
        <v>70</v>
      </c>
      <c r="D50" s="3">
        <v>675.0</v>
      </c>
    </row>
    <row r="51">
      <c r="A51" s="9">
        <v>45684.0</v>
      </c>
      <c r="B51" s="6" t="s">
        <v>112</v>
      </c>
      <c r="C51" s="6" t="s">
        <v>53</v>
      </c>
      <c r="D51" s="3">
        <v>675.0</v>
      </c>
    </row>
    <row r="52">
      <c r="A52" s="9">
        <v>45684.0</v>
      </c>
      <c r="B52" s="6" t="s">
        <v>113</v>
      </c>
      <c r="C52" s="6" t="s">
        <v>50</v>
      </c>
      <c r="D52" s="3">
        <v>465.0</v>
      </c>
    </row>
    <row r="53">
      <c r="A53" s="9">
        <v>45684.0</v>
      </c>
      <c r="B53" s="6" t="s">
        <v>114</v>
      </c>
      <c r="C53" s="6" t="s">
        <v>42</v>
      </c>
      <c r="D53" s="3">
        <v>640.0</v>
      </c>
    </row>
    <row r="54">
      <c r="A54" s="9">
        <v>45684.0</v>
      </c>
      <c r="B54" s="6" t="s">
        <v>115</v>
      </c>
      <c r="C54" s="6" t="s">
        <v>116</v>
      </c>
      <c r="D54" s="3">
        <v>720.0</v>
      </c>
    </row>
    <row r="55">
      <c r="A55" s="9">
        <v>45684.0</v>
      </c>
      <c r="B55" s="6" t="s">
        <v>117</v>
      </c>
      <c r="C55" s="6" t="s">
        <v>118</v>
      </c>
      <c r="D55" s="3">
        <v>435.0</v>
      </c>
    </row>
    <row r="56">
      <c r="A56" s="9">
        <v>45686.0</v>
      </c>
      <c r="B56" s="6" t="s">
        <v>119</v>
      </c>
      <c r="C56" s="6" t="s">
        <v>105</v>
      </c>
      <c r="D56" s="3">
        <v>560.0</v>
      </c>
    </row>
    <row r="57">
      <c r="A57" s="9">
        <v>45691.0</v>
      </c>
      <c r="B57" s="6" t="s">
        <v>120</v>
      </c>
      <c r="C57" s="6" t="s">
        <v>121</v>
      </c>
      <c r="D57" s="3">
        <v>135.0</v>
      </c>
      <c r="E57" s="6" t="s">
        <v>106</v>
      </c>
    </row>
    <row r="58">
      <c r="A58" s="9">
        <v>45691.0</v>
      </c>
      <c r="B58" s="6" t="s">
        <v>122</v>
      </c>
      <c r="C58" s="6" t="s">
        <v>74</v>
      </c>
      <c r="D58" s="3">
        <v>1015.0</v>
      </c>
      <c r="E58" s="6" t="s">
        <v>106</v>
      </c>
    </row>
    <row r="59">
      <c r="A59" s="9">
        <v>45695.0</v>
      </c>
      <c r="B59" s="6" t="s">
        <v>123</v>
      </c>
      <c r="C59" s="6" t="s">
        <v>42</v>
      </c>
      <c r="D59" s="3">
        <v>208.0</v>
      </c>
      <c r="E59" s="6" t="s">
        <v>106</v>
      </c>
    </row>
    <row r="60">
      <c r="A60" s="9">
        <v>45695.0</v>
      </c>
      <c r="B60" s="6" t="s">
        <v>124</v>
      </c>
      <c r="C60" s="6" t="s">
        <v>42</v>
      </c>
      <c r="D60" s="3">
        <v>412.0</v>
      </c>
      <c r="E60" s="6" t="s">
        <v>106</v>
      </c>
    </row>
    <row r="61">
      <c r="A61" s="9">
        <v>45698.0</v>
      </c>
      <c r="B61" s="6" t="s">
        <v>125</v>
      </c>
      <c r="C61" s="6" t="s">
        <v>91</v>
      </c>
      <c r="D61" s="3">
        <v>590.0</v>
      </c>
      <c r="E61" s="6" t="s">
        <v>106</v>
      </c>
    </row>
    <row r="62">
      <c r="A62" s="9">
        <v>45698.0</v>
      </c>
      <c r="B62" s="6" t="s">
        <v>126</v>
      </c>
      <c r="C62" s="6" t="s">
        <v>50</v>
      </c>
      <c r="D62" s="3">
        <v>465.0</v>
      </c>
      <c r="E62" s="6" t="s">
        <v>106</v>
      </c>
    </row>
    <row r="63">
      <c r="A63" s="9">
        <v>45698.0</v>
      </c>
      <c r="B63" s="6" t="s">
        <v>127</v>
      </c>
      <c r="C63" s="6" t="s">
        <v>109</v>
      </c>
      <c r="D63" s="3">
        <v>420.0</v>
      </c>
      <c r="E63" s="6" t="s">
        <v>106</v>
      </c>
    </row>
    <row r="64">
      <c r="A64" s="9">
        <v>45698.0</v>
      </c>
      <c r="B64" s="6" t="s">
        <v>128</v>
      </c>
      <c r="C64" s="6" t="s">
        <v>129</v>
      </c>
      <c r="D64" s="3">
        <v>405.0</v>
      </c>
      <c r="E64" s="6" t="s">
        <v>106</v>
      </c>
    </row>
    <row r="65">
      <c r="A65" s="9">
        <v>45698.0</v>
      </c>
      <c r="B65" s="6" t="s">
        <v>130</v>
      </c>
      <c r="C65" s="6" t="s">
        <v>53</v>
      </c>
      <c r="D65" s="3">
        <v>810.0</v>
      </c>
      <c r="E65" s="6" t="s">
        <v>106</v>
      </c>
    </row>
    <row r="66">
      <c r="A66" s="9">
        <v>45698.0</v>
      </c>
      <c r="B66" s="6" t="s">
        <v>131</v>
      </c>
      <c r="C66" s="6" t="s">
        <v>118</v>
      </c>
      <c r="D66" s="3">
        <v>135.0</v>
      </c>
      <c r="E66" s="6" t="s">
        <v>106</v>
      </c>
    </row>
    <row r="67">
      <c r="A67" s="9">
        <v>45699.0</v>
      </c>
      <c r="B67" s="6" t="s">
        <v>132</v>
      </c>
      <c r="C67" s="6" t="s">
        <v>133</v>
      </c>
      <c r="D67" s="3">
        <v>290.0</v>
      </c>
      <c r="E67" s="6" t="s">
        <v>106</v>
      </c>
    </row>
    <row r="68">
      <c r="A68" s="9">
        <v>45699.0</v>
      </c>
      <c r="B68" s="6" t="s">
        <v>134</v>
      </c>
      <c r="C68" s="6" t="s">
        <v>135</v>
      </c>
      <c r="D68" s="3">
        <v>285.0</v>
      </c>
      <c r="E68" s="6" t="s">
        <v>106</v>
      </c>
    </row>
    <row r="69">
      <c r="A69" s="9">
        <v>45699.0</v>
      </c>
      <c r="B69" s="6" t="s">
        <v>136</v>
      </c>
      <c r="C69" s="6" t="s">
        <v>101</v>
      </c>
      <c r="D69" s="3">
        <v>620.0</v>
      </c>
      <c r="E69" s="6" t="s">
        <v>106</v>
      </c>
    </row>
    <row r="70">
      <c r="A70" s="9">
        <v>45700.0</v>
      </c>
      <c r="B70" s="6" t="s">
        <v>137</v>
      </c>
      <c r="C70" s="6" t="s">
        <v>138</v>
      </c>
      <c r="D70" s="3">
        <v>390.0</v>
      </c>
      <c r="E70" s="6" t="s">
        <v>106</v>
      </c>
    </row>
    <row r="71">
      <c r="A71" s="9">
        <v>45700.0</v>
      </c>
      <c r="B71" s="6" t="s">
        <v>139</v>
      </c>
      <c r="C71" s="6" t="s">
        <v>74</v>
      </c>
      <c r="D71" s="3">
        <v>580.0</v>
      </c>
      <c r="E71" s="6" t="s">
        <v>106</v>
      </c>
    </row>
    <row r="72">
      <c r="A72" s="9">
        <v>45706.0</v>
      </c>
      <c r="B72" s="6" t="s">
        <v>140</v>
      </c>
      <c r="C72" s="6" t="s">
        <v>70</v>
      </c>
      <c r="D72" s="3">
        <v>585.0</v>
      </c>
      <c r="E72" s="6" t="s">
        <v>106</v>
      </c>
    </row>
    <row r="73">
      <c r="A73" s="9">
        <v>45712.0</v>
      </c>
      <c r="B73" s="6" t="s">
        <v>141</v>
      </c>
      <c r="C73" s="6" t="s">
        <v>70</v>
      </c>
      <c r="D73" s="3">
        <v>270.0</v>
      </c>
      <c r="E73" s="6" t="s">
        <v>106</v>
      </c>
    </row>
    <row r="74">
      <c r="A74" s="9">
        <v>45712.0</v>
      </c>
      <c r="B74" s="6" t="s">
        <v>142</v>
      </c>
      <c r="C74" s="6" t="s">
        <v>101</v>
      </c>
      <c r="D74" s="3">
        <v>195.0</v>
      </c>
      <c r="E74" s="6" t="s">
        <v>106</v>
      </c>
    </row>
    <row r="75">
      <c r="A75" s="9">
        <v>45712.0</v>
      </c>
      <c r="B75" s="6" t="s">
        <v>143</v>
      </c>
      <c r="C75" s="6" t="s">
        <v>118</v>
      </c>
      <c r="D75" s="3">
        <v>350.0</v>
      </c>
      <c r="E75" s="6" t="s">
        <v>106</v>
      </c>
    </row>
    <row r="76">
      <c r="A76" s="9">
        <v>45712.0</v>
      </c>
      <c r="B76" s="6" t="s">
        <v>144</v>
      </c>
      <c r="C76" s="6" t="s">
        <v>145</v>
      </c>
      <c r="D76" s="3">
        <v>140.0</v>
      </c>
      <c r="E76" s="6" t="s">
        <v>106</v>
      </c>
    </row>
    <row r="77">
      <c r="A77" s="9">
        <v>45712.0</v>
      </c>
      <c r="B77" s="6" t="s">
        <v>146</v>
      </c>
      <c r="C77" s="6" t="s">
        <v>50</v>
      </c>
      <c r="D77" s="3">
        <v>465.0</v>
      </c>
      <c r="E77" s="6" t="s">
        <v>106</v>
      </c>
    </row>
    <row r="78">
      <c r="A78" s="9">
        <v>45712.0</v>
      </c>
      <c r="B78" s="6" t="s">
        <v>147</v>
      </c>
      <c r="C78" s="6" t="s">
        <v>148</v>
      </c>
      <c r="D78" s="3">
        <v>135.0</v>
      </c>
      <c r="E78" s="6" t="s">
        <v>106</v>
      </c>
    </row>
    <row r="79">
      <c r="A79" s="9">
        <v>45712.0</v>
      </c>
      <c r="B79" s="6" t="s">
        <v>149</v>
      </c>
      <c r="C79" s="6" t="s">
        <v>42</v>
      </c>
      <c r="D79" s="3">
        <v>160.0</v>
      </c>
      <c r="E79" s="6" t="s">
        <v>106</v>
      </c>
    </row>
    <row r="80">
      <c r="A80" s="9">
        <v>45712.0</v>
      </c>
      <c r="B80" s="6" t="s">
        <v>150</v>
      </c>
      <c r="C80" s="6" t="s">
        <v>151</v>
      </c>
      <c r="D80" s="3">
        <v>1810.0</v>
      </c>
      <c r="E80" s="6" t="s">
        <v>106</v>
      </c>
    </row>
    <row r="81">
      <c r="A81" s="9">
        <v>45723.0</v>
      </c>
      <c r="B81" s="6" t="s">
        <v>152</v>
      </c>
      <c r="C81" s="6" t="s">
        <v>53</v>
      </c>
      <c r="D81" s="3">
        <v>135.0</v>
      </c>
      <c r="E81" s="6" t="s">
        <v>106</v>
      </c>
    </row>
    <row r="82">
      <c r="A82" s="9">
        <v>45726.0</v>
      </c>
      <c r="B82" s="6" t="s">
        <v>153</v>
      </c>
      <c r="C82" s="6" t="s">
        <v>148</v>
      </c>
      <c r="D82" s="3">
        <v>290.0</v>
      </c>
      <c r="E82" s="6" t="s">
        <v>106</v>
      </c>
    </row>
    <row r="83">
      <c r="A83" s="9">
        <v>45726.0</v>
      </c>
      <c r="B83" s="6" t="s">
        <v>154</v>
      </c>
      <c r="C83" s="6" t="s">
        <v>138</v>
      </c>
      <c r="D83" s="3">
        <v>135.0</v>
      </c>
      <c r="E83" s="6" t="s">
        <v>106</v>
      </c>
    </row>
    <row r="84">
      <c r="A84" s="9">
        <v>45726.0</v>
      </c>
      <c r="B84" s="6" t="s">
        <v>155</v>
      </c>
      <c r="C84" s="6" t="s">
        <v>101</v>
      </c>
      <c r="D84" s="3">
        <v>505.0</v>
      </c>
      <c r="E84" s="6" t="s">
        <v>106</v>
      </c>
    </row>
    <row r="85">
      <c r="A85" s="9">
        <v>45726.0</v>
      </c>
      <c r="B85" s="6" t="s">
        <v>156</v>
      </c>
      <c r="C85" s="6" t="s">
        <v>157</v>
      </c>
      <c r="D85" s="3">
        <v>310.0</v>
      </c>
      <c r="E85" s="6" t="s">
        <v>106</v>
      </c>
    </row>
    <row r="86">
      <c r="A86" s="9">
        <v>45726.0</v>
      </c>
      <c r="B86" s="6" t="s">
        <v>158</v>
      </c>
      <c r="C86" s="6" t="s">
        <v>50</v>
      </c>
      <c r="D86" s="3">
        <v>620.0</v>
      </c>
      <c r="E86" s="6" t="s">
        <v>106</v>
      </c>
    </row>
    <row r="87">
      <c r="A87" s="9">
        <v>45726.0</v>
      </c>
      <c r="B87" s="6" t="s">
        <v>159</v>
      </c>
      <c r="C87" s="6" t="s">
        <v>50</v>
      </c>
      <c r="D87" s="3">
        <v>120.0</v>
      </c>
      <c r="E87" s="6" t="s">
        <v>106</v>
      </c>
    </row>
    <row r="88">
      <c r="A88" s="9">
        <v>45726.0</v>
      </c>
      <c r="B88" s="6" t="s">
        <v>160</v>
      </c>
      <c r="C88" s="6" t="s">
        <v>67</v>
      </c>
      <c r="D88" s="3">
        <v>185.0</v>
      </c>
      <c r="E88" s="6" t="s">
        <v>106</v>
      </c>
    </row>
    <row r="89">
      <c r="A89" s="9">
        <v>45727.0</v>
      </c>
      <c r="B89" s="6" t="s">
        <v>161</v>
      </c>
      <c r="C89" s="6" t="s">
        <v>42</v>
      </c>
      <c r="D89" s="3">
        <v>400.0</v>
      </c>
      <c r="E89" s="6" t="s">
        <v>106</v>
      </c>
    </row>
    <row r="90">
      <c r="A90" s="9">
        <v>45733.0</v>
      </c>
      <c r="B90" s="6" t="s">
        <v>162</v>
      </c>
      <c r="C90" s="6" t="s">
        <v>70</v>
      </c>
      <c r="D90" s="3">
        <v>155.0</v>
      </c>
      <c r="E90" s="6" t="s">
        <v>106</v>
      </c>
    </row>
    <row r="91">
      <c r="A91" s="9">
        <v>45727.0</v>
      </c>
      <c r="B91" s="6" t="s">
        <v>163</v>
      </c>
      <c r="C91" s="6" t="s">
        <v>67</v>
      </c>
      <c r="D91" s="3">
        <v>900.0</v>
      </c>
      <c r="E91" s="6" t="s">
        <v>106</v>
      </c>
    </row>
    <row r="92">
      <c r="A92" s="9">
        <v>45733.0</v>
      </c>
      <c r="B92" s="6" t="s">
        <v>164</v>
      </c>
      <c r="C92" s="6" t="s">
        <v>165</v>
      </c>
      <c r="D92" s="3">
        <v>2000.0</v>
      </c>
      <c r="E92" s="6" t="s">
        <v>106</v>
      </c>
    </row>
    <row r="93">
      <c r="A93" s="9">
        <v>45737.0</v>
      </c>
      <c r="B93" s="6" t="s">
        <v>166</v>
      </c>
      <c r="C93" s="6" t="s">
        <v>50</v>
      </c>
      <c r="D93" s="3">
        <v>310.0</v>
      </c>
      <c r="E93" s="6" t="s">
        <v>106</v>
      </c>
    </row>
    <row r="94">
      <c r="A94" s="9">
        <v>45737.0</v>
      </c>
      <c r="B94" s="6" t="s">
        <v>167</v>
      </c>
      <c r="C94" s="6" t="s">
        <v>55</v>
      </c>
      <c r="D94" s="3">
        <v>150.0</v>
      </c>
      <c r="E94" s="6" t="s">
        <v>106</v>
      </c>
    </row>
    <row r="95">
      <c r="A95" s="9">
        <v>45740.0</v>
      </c>
      <c r="B95" s="6" t="s">
        <v>168</v>
      </c>
      <c r="C95" s="6" t="s">
        <v>91</v>
      </c>
      <c r="D95" s="3">
        <v>435.0</v>
      </c>
      <c r="E95" s="6" t="s">
        <v>106</v>
      </c>
    </row>
    <row r="96">
      <c r="A96" s="9">
        <v>45740.0</v>
      </c>
      <c r="B96" s="6" t="s">
        <v>169</v>
      </c>
      <c r="C96" s="6" t="s">
        <v>67</v>
      </c>
      <c r="D96" s="3">
        <v>605.0</v>
      </c>
      <c r="E96" s="6" t="s">
        <v>106</v>
      </c>
    </row>
    <row r="97">
      <c r="A97" s="9">
        <v>45743.0</v>
      </c>
      <c r="B97" s="6" t="s">
        <v>170</v>
      </c>
      <c r="C97" s="6" t="s">
        <v>78</v>
      </c>
      <c r="D97" s="3">
        <v>101.0</v>
      </c>
      <c r="E97" s="6" t="s">
        <v>106</v>
      </c>
    </row>
    <row r="98">
      <c r="A98" s="9">
        <v>45751.0</v>
      </c>
      <c r="B98" s="6" t="s">
        <v>171</v>
      </c>
      <c r="C98" s="6" t="s">
        <v>67</v>
      </c>
      <c r="D98" s="3">
        <v>370.0</v>
      </c>
      <c r="E98" s="6" t="s">
        <v>106</v>
      </c>
    </row>
    <row r="99">
      <c r="A99" s="9">
        <v>45751.0</v>
      </c>
      <c r="B99" s="6" t="s">
        <v>172</v>
      </c>
      <c r="C99" s="6" t="s">
        <v>50</v>
      </c>
      <c r="D99" s="3">
        <v>620.0</v>
      </c>
      <c r="E99" s="6" t="s">
        <v>106</v>
      </c>
    </row>
    <row r="100">
      <c r="A100" s="9">
        <v>45751.0</v>
      </c>
      <c r="B100" s="6" t="s">
        <v>173</v>
      </c>
      <c r="C100" s="6" t="s">
        <v>55</v>
      </c>
      <c r="D100" s="3">
        <v>150.0</v>
      </c>
      <c r="E100" s="6" t="s">
        <v>106</v>
      </c>
    </row>
    <row r="101">
      <c r="A101" s="9">
        <v>45751.0</v>
      </c>
      <c r="B101" s="6" t="s">
        <v>174</v>
      </c>
      <c r="C101" s="6" t="s">
        <v>86</v>
      </c>
      <c r="D101" s="3">
        <v>250.0</v>
      </c>
      <c r="E101" s="6" t="s">
        <v>106</v>
      </c>
    </row>
    <row r="102">
      <c r="A102" s="9">
        <v>45751.0</v>
      </c>
      <c r="B102" s="6" t="s">
        <v>175</v>
      </c>
      <c r="C102" s="6" t="s">
        <v>55</v>
      </c>
      <c r="D102" s="3">
        <v>250.0</v>
      </c>
      <c r="E102" s="6" t="s">
        <v>106</v>
      </c>
    </row>
    <row r="103">
      <c r="A103" s="9">
        <v>45751.0</v>
      </c>
      <c r="B103" s="6" t="s">
        <v>176</v>
      </c>
      <c r="C103" s="6" t="s">
        <v>177</v>
      </c>
      <c r="D103" s="3">
        <v>330.0</v>
      </c>
      <c r="E103" s="6" t="s">
        <v>106</v>
      </c>
    </row>
    <row r="104">
      <c r="A104" s="9">
        <v>45765.0</v>
      </c>
      <c r="B104" s="6" t="s">
        <v>178</v>
      </c>
      <c r="C104" s="6" t="s">
        <v>67</v>
      </c>
      <c r="D104" s="3">
        <v>275.0</v>
      </c>
      <c r="E104" s="6" t="s">
        <v>106</v>
      </c>
    </row>
    <row r="105">
      <c r="A105" s="9">
        <v>45765.0</v>
      </c>
      <c r="B105" s="6" t="s">
        <v>179</v>
      </c>
      <c r="C105" s="6" t="s">
        <v>55</v>
      </c>
      <c r="D105" s="3">
        <v>250.0</v>
      </c>
      <c r="E105" s="6" t="s">
        <v>106</v>
      </c>
    </row>
    <row r="106">
      <c r="A106" s="9">
        <v>45765.0</v>
      </c>
      <c r="B106" s="6" t="s">
        <v>180</v>
      </c>
      <c r="C106" s="6" t="s">
        <v>53</v>
      </c>
      <c r="D106" s="3">
        <v>135.0</v>
      </c>
      <c r="E106" s="6" t="s">
        <v>106</v>
      </c>
    </row>
    <row r="107">
      <c r="A107" s="9">
        <v>45765.0</v>
      </c>
      <c r="B107" s="6" t="s">
        <v>181</v>
      </c>
      <c r="C107" s="6" t="s">
        <v>50</v>
      </c>
      <c r="D107" s="3">
        <v>620.0</v>
      </c>
      <c r="E107" s="6" t="s">
        <v>106</v>
      </c>
    </row>
    <row r="108">
      <c r="A108" s="9">
        <v>45768.0</v>
      </c>
      <c r="B108" s="6" t="s">
        <v>182</v>
      </c>
      <c r="C108" s="6" t="s">
        <v>148</v>
      </c>
      <c r="D108" s="3">
        <v>135.0</v>
      </c>
      <c r="E108" s="6" t="s">
        <v>106</v>
      </c>
    </row>
    <row r="109">
      <c r="A109" s="9">
        <v>45768.0</v>
      </c>
      <c r="B109" s="6" t="s">
        <v>183</v>
      </c>
      <c r="C109" s="6" t="s">
        <v>101</v>
      </c>
      <c r="D109" s="3">
        <v>155.0</v>
      </c>
      <c r="E109" s="6" t="s">
        <v>106</v>
      </c>
    </row>
    <row r="110">
      <c r="A110" s="9">
        <v>45779.0</v>
      </c>
      <c r="B110" s="6" t="s">
        <v>184</v>
      </c>
      <c r="C110" s="6" t="s">
        <v>67</v>
      </c>
      <c r="D110" s="3">
        <v>835.0</v>
      </c>
      <c r="E110" s="6" t="s">
        <v>106</v>
      </c>
    </row>
    <row r="111">
      <c r="A111" s="9">
        <v>45779.0</v>
      </c>
      <c r="B111" s="6" t="s">
        <v>185</v>
      </c>
      <c r="C111" s="6" t="s">
        <v>50</v>
      </c>
      <c r="D111" s="3">
        <v>620.0</v>
      </c>
      <c r="E111" s="6" t="s">
        <v>106</v>
      </c>
    </row>
    <row r="112">
      <c r="A112" s="9">
        <v>45779.0</v>
      </c>
      <c r="B112" s="6" t="s">
        <v>186</v>
      </c>
      <c r="C112" s="6" t="s">
        <v>177</v>
      </c>
      <c r="D112" s="3">
        <v>1320.0</v>
      </c>
      <c r="E112" s="6" t="s">
        <v>106</v>
      </c>
    </row>
    <row r="113">
      <c r="A113" s="9">
        <v>45779.0</v>
      </c>
      <c r="B113" s="6" t="s">
        <v>187</v>
      </c>
      <c r="C113" s="6" t="s">
        <v>55</v>
      </c>
      <c r="D113" s="3">
        <v>450.0</v>
      </c>
      <c r="E113" s="6" t="s">
        <v>106</v>
      </c>
    </row>
    <row r="114">
      <c r="A114" s="9">
        <v>45779.0</v>
      </c>
      <c r="B114" s="6" t="s">
        <v>188</v>
      </c>
      <c r="C114" s="6" t="s">
        <v>189</v>
      </c>
      <c r="D114" s="3">
        <v>640.0</v>
      </c>
      <c r="E114" s="6" t="s">
        <v>106</v>
      </c>
    </row>
    <row r="115">
      <c r="A115" s="9">
        <v>45779.0</v>
      </c>
      <c r="B115" s="6" t="s">
        <v>190</v>
      </c>
      <c r="C115" s="6" t="s">
        <v>53</v>
      </c>
      <c r="D115" s="3">
        <v>280.0</v>
      </c>
      <c r="E115" s="6" t="s">
        <v>106</v>
      </c>
    </row>
    <row r="116">
      <c r="A116" s="9">
        <v>45782.0</v>
      </c>
      <c r="B116" s="6" t="s">
        <v>191</v>
      </c>
      <c r="C116" s="6" t="s">
        <v>70</v>
      </c>
      <c r="D116" s="3">
        <v>840.0</v>
      </c>
      <c r="E116" s="6" t="s">
        <v>106</v>
      </c>
    </row>
    <row r="117">
      <c r="A117" s="9">
        <v>45782.0</v>
      </c>
      <c r="B117" s="6" t="s">
        <v>192</v>
      </c>
      <c r="C117" s="6" t="s">
        <v>101</v>
      </c>
      <c r="D117" s="3">
        <v>1475.0</v>
      </c>
      <c r="E117" s="6" t="s">
        <v>106</v>
      </c>
    </row>
    <row r="118">
      <c r="A118" s="9">
        <v>45782.0</v>
      </c>
      <c r="B118" s="6" t="s">
        <v>193</v>
      </c>
      <c r="C118" s="6" t="s">
        <v>189</v>
      </c>
      <c r="D118" s="3">
        <v>400.0</v>
      </c>
      <c r="E118" s="6" t="s">
        <v>106</v>
      </c>
    </row>
    <row r="119">
      <c r="A119" s="9">
        <v>45782.0</v>
      </c>
      <c r="B119" s="6" t="s">
        <v>194</v>
      </c>
      <c r="C119" s="6" t="s">
        <v>148</v>
      </c>
      <c r="D119" s="3">
        <v>560.0</v>
      </c>
      <c r="E119" s="6" t="s">
        <v>106</v>
      </c>
    </row>
    <row r="120">
      <c r="A120" s="9">
        <v>45782.0</v>
      </c>
      <c r="B120" s="6" t="s">
        <v>195</v>
      </c>
      <c r="C120" s="6" t="s">
        <v>196</v>
      </c>
      <c r="D120" s="3">
        <v>280.0</v>
      </c>
      <c r="E120" s="6" t="s">
        <v>106</v>
      </c>
    </row>
    <row r="121">
      <c r="A121" s="9">
        <v>45785.0</v>
      </c>
      <c r="B121" s="6" t="s">
        <v>197</v>
      </c>
      <c r="C121" s="6" t="s">
        <v>86</v>
      </c>
      <c r="D121" s="3">
        <v>400.0</v>
      </c>
      <c r="E121" s="6" t="s">
        <v>106</v>
      </c>
    </row>
    <row r="122">
      <c r="A122" s="9">
        <v>45790.0</v>
      </c>
      <c r="B122" s="6" t="s">
        <v>198</v>
      </c>
      <c r="C122" s="6" t="s">
        <v>199</v>
      </c>
      <c r="D122" s="3">
        <v>265.0</v>
      </c>
      <c r="E122" s="6" t="s">
        <v>106</v>
      </c>
    </row>
    <row r="123">
      <c r="A123" s="9">
        <v>45793.0</v>
      </c>
      <c r="B123" s="6" t="s">
        <v>200</v>
      </c>
      <c r="C123" s="6" t="s">
        <v>50</v>
      </c>
      <c r="D123" s="3">
        <v>620.0</v>
      </c>
      <c r="E123" s="6" t="s">
        <v>106</v>
      </c>
    </row>
    <row r="124">
      <c r="A124" s="9">
        <v>45793.0</v>
      </c>
      <c r="B124" s="6" t="s">
        <v>201</v>
      </c>
      <c r="C124" s="6" t="s">
        <v>177</v>
      </c>
      <c r="D124" s="3">
        <v>640.0</v>
      </c>
      <c r="E124" s="6" t="s">
        <v>106</v>
      </c>
    </row>
    <row r="125">
      <c r="A125" s="9">
        <v>45793.0</v>
      </c>
      <c r="B125" s="6" t="s">
        <v>203</v>
      </c>
      <c r="C125" s="6" t="s">
        <v>101</v>
      </c>
      <c r="D125" s="3">
        <v>465.0</v>
      </c>
      <c r="E125" s="6" t="s">
        <v>106</v>
      </c>
    </row>
    <row r="126">
      <c r="A126" s="9">
        <v>45793.0</v>
      </c>
      <c r="B126" s="6" t="s">
        <v>204</v>
      </c>
      <c r="C126" s="6" t="s">
        <v>67</v>
      </c>
      <c r="D126" s="3">
        <v>2035.0</v>
      </c>
      <c r="E126" s="6" t="s">
        <v>106</v>
      </c>
    </row>
    <row r="127">
      <c r="A127" s="9">
        <v>45793.0</v>
      </c>
      <c r="B127" s="6" t="s">
        <v>205</v>
      </c>
      <c r="C127" s="6" t="s">
        <v>55</v>
      </c>
      <c r="D127" s="3">
        <v>1650.0</v>
      </c>
      <c r="E127" s="6" t="s">
        <v>106</v>
      </c>
    </row>
    <row r="128">
      <c r="A128" s="9">
        <v>45793.0</v>
      </c>
      <c r="B128" s="6" t="s">
        <v>206</v>
      </c>
      <c r="C128" s="6" t="s">
        <v>189</v>
      </c>
      <c r="D128" s="3">
        <v>960.0</v>
      </c>
      <c r="E128" s="6" t="s">
        <v>106</v>
      </c>
    </row>
    <row r="129">
      <c r="A129" s="9">
        <v>45796.0</v>
      </c>
      <c r="B129" s="6" t="s">
        <v>207</v>
      </c>
      <c r="C129" s="6" t="s">
        <v>208</v>
      </c>
      <c r="D129" s="3">
        <v>140.0</v>
      </c>
      <c r="E129" s="6" t="s">
        <v>106</v>
      </c>
    </row>
    <row r="130">
      <c r="A130" s="9">
        <v>45807.0</v>
      </c>
      <c r="B130" s="6" t="s">
        <v>209</v>
      </c>
      <c r="C130" s="6" t="s">
        <v>55</v>
      </c>
      <c r="D130" s="3">
        <v>450.0</v>
      </c>
      <c r="E130" s="6" t="s">
        <v>106</v>
      </c>
    </row>
    <row r="131">
      <c r="A131" s="9">
        <v>45807.0</v>
      </c>
      <c r="B131" s="6" t="s">
        <v>210</v>
      </c>
      <c r="C131" s="6" t="s">
        <v>189</v>
      </c>
      <c r="D131" s="3">
        <v>480.0</v>
      </c>
      <c r="E131" s="6" t="s">
        <v>106</v>
      </c>
    </row>
    <row r="132">
      <c r="A132" s="9">
        <v>45810.0</v>
      </c>
      <c r="B132" s="6" t="s">
        <v>211</v>
      </c>
      <c r="C132" s="6" t="s">
        <v>50</v>
      </c>
      <c r="D132" s="3">
        <v>620.0</v>
      </c>
      <c r="E132" s="6" t="s">
        <v>106</v>
      </c>
    </row>
    <row r="133">
      <c r="A133" s="9">
        <v>45810.0</v>
      </c>
      <c r="B133" s="6" t="s">
        <v>212</v>
      </c>
      <c r="C133" s="6" t="s">
        <v>101</v>
      </c>
      <c r="D133" s="3">
        <v>155.0</v>
      </c>
      <c r="E133" s="6" t="s">
        <v>106</v>
      </c>
    </row>
    <row r="134">
      <c r="A134" s="9">
        <v>45810.0</v>
      </c>
      <c r="B134" s="6" t="s">
        <v>214</v>
      </c>
      <c r="C134" s="6" t="s">
        <v>215</v>
      </c>
      <c r="D134" s="3">
        <v>280.0</v>
      </c>
      <c r="E134" s="6" t="s">
        <v>106</v>
      </c>
    </row>
    <row r="135">
      <c r="A135" s="9">
        <v>45810.0</v>
      </c>
      <c r="B135" s="6" t="s">
        <v>217</v>
      </c>
      <c r="C135" s="6" t="s">
        <v>177</v>
      </c>
      <c r="D135" s="3">
        <v>165.0</v>
      </c>
      <c r="E135" s="6" t="s">
        <v>106</v>
      </c>
    </row>
    <row r="136">
      <c r="A136" s="9">
        <v>45810.0</v>
      </c>
      <c r="B136" s="6" t="s">
        <v>219</v>
      </c>
      <c r="C136" s="6" t="s">
        <v>53</v>
      </c>
      <c r="D136" s="3">
        <v>280.0</v>
      </c>
      <c r="E136" s="6" t="s">
        <v>106</v>
      </c>
    </row>
    <row r="137">
      <c r="A137" s="9">
        <v>45810.0</v>
      </c>
      <c r="B137" s="6" t="s">
        <v>220</v>
      </c>
      <c r="C137" s="6" t="s">
        <v>67</v>
      </c>
      <c r="D137" s="3">
        <v>740.0</v>
      </c>
      <c r="E137" s="6" t="s">
        <v>106</v>
      </c>
    </row>
    <row r="138">
      <c r="A138" s="9">
        <v>45821.0</v>
      </c>
      <c r="B138" s="6" t="s">
        <v>221</v>
      </c>
      <c r="C138" s="6" t="s">
        <v>50</v>
      </c>
      <c r="D138" s="3">
        <v>465.0</v>
      </c>
      <c r="E138" s="6" t="s">
        <v>106</v>
      </c>
    </row>
    <row r="139">
      <c r="A139" s="9">
        <v>45824.0</v>
      </c>
      <c r="B139" s="6" t="s">
        <v>222</v>
      </c>
      <c r="C139" s="6" t="s">
        <v>67</v>
      </c>
      <c r="D139" s="3">
        <v>555.0</v>
      </c>
      <c r="E139" s="6" t="s">
        <v>106</v>
      </c>
    </row>
    <row r="140">
      <c r="A140" s="9">
        <v>45824.0</v>
      </c>
      <c r="B140" s="6" t="s">
        <v>223</v>
      </c>
      <c r="C140" s="6" t="s">
        <v>91</v>
      </c>
      <c r="D140" s="3">
        <v>290.0</v>
      </c>
      <c r="E140" s="6" t="s">
        <v>106</v>
      </c>
    </row>
    <row r="141">
      <c r="A141" s="9">
        <v>45824.0</v>
      </c>
      <c r="B141" s="6" t="s">
        <v>224</v>
      </c>
      <c r="C141" s="6" t="s">
        <v>208</v>
      </c>
      <c r="D141" s="3">
        <v>140.0</v>
      </c>
      <c r="E141" s="6" t="s">
        <v>106</v>
      </c>
    </row>
    <row r="142">
      <c r="A142" s="9">
        <v>45824.0</v>
      </c>
      <c r="B142" s="6" t="s">
        <v>227</v>
      </c>
      <c r="C142" s="6" t="s">
        <v>86</v>
      </c>
      <c r="D142" s="3">
        <v>300.0</v>
      </c>
      <c r="E142" s="6" t="s">
        <v>106</v>
      </c>
    </row>
    <row r="143">
      <c r="A143" s="9">
        <v>45824.0</v>
      </c>
      <c r="B143" s="6" t="s">
        <v>229</v>
      </c>
      <c r="C143" s="6" t="s">
        <v>101</v>
      </c>
      <c r="D143" s="3">
        <v>800.0</v>
      </c>
      <c r="E143" s="6" t="s">
        <v>106</v>
      </c>
    </row>
    <row r="144">
      <c r="A144" s="9">
        <v>45824.0</v>
      </c>
      <c r="B144" s="6" t="s">
        <v>230</v>
      </c>
      <c r="C144" s="6" t="s">
        <v>55</v>
      </c>
      <c r="D144" s="3">
        <v>550.0</v>
      </c>
      <c r="E144" s="6" t="s">
        <v>106</v>
      </c>
    </row>
    <row r="145">
      <c r="A145" s="9">
        <v>45835.0</v>
      </c>
      <c r="B145" s="6" t="s">
        <v>231</v>
      </c>
      <c r="C145" s="6" t="s">
        <v>50</v>
      </c>
      <c r="D145" s="3">
        <v>310.0</v>
      </c>
      <c r="E145" s="6" t="s">
        <v>106</v>
      </c>
    </row>
    <row r="146">
      <c r="A146" s="9">
        <v>45835.0</v>
      </c>
      <c r="B146" s="6" t="s">
        <v>232</v>
      </c>
      <c r="C146" s="6" t="s">
        <v>101</v>
      </c>
      <c r="D146" s="3">
        <v>495.0</v>
      </c>
      <c r="E146" s="6" t="s">
        <v>106</v>
      </c>
    </row>
    <row r="147">
      <c r="A147" s="9">
        <v>45835.0</v>
      </c>
      <c r="B147" s="6" t="s">
        <v>235</v>
      </c>
      <c r="C147" s="6" t="s">
        <v>86</v>
      </c>
      <c r="D147" s="3">
        <v>200.0</v>
      </c>
      <c r="E147" s="6" t="s">
        <v>106</v>
      </c>
    </row>
    <row r="148">
      <c r="A148" s="9">
        <v>45835.0</v>
      </c>
      <c r="B148" s="6" t="s">
        <v>237</v>
      </c>
      <c r="C148" s="6" t="s">
        <v>91</v>
      </c>
      <c r="D148" s="3">
        <v>150.0</v>
      </c>
      <c r="E148" s="6" t="s">
        <v>106</v>
      </c>
    </row>
    <row r="149">
      <c r="A149" s="9">
        <v>45835.0</v>
      </c>
      <c r="B149" s="6" t="s">
        <v>239</v>
      </c>
      <c r="C149" s="6" t="s">
        <v>55</v>
      </c>
      <c r="D149" s="3">
        <v>650.0</v>
      </c>
      <c r="E149" s="6" t="s">
        <v>106</v>
      </c>
    </row>
    <row r="150">
      <c r="A150" s="9">
        <v>45838.0</v>
      </c>
      <c r="B150" s="6" t="s">
        <v>240</v>
      </c>
      <c r="C150" s="6" t="s">
        <v>42</v>
      </c>
      <c r="D150" s="3">
        <v>500.0</v>
      </c>
      <c r="E150" s="6" t="s">
        <v>106</v>
      </c>
    </row>
    <row r="151">
      <c r="A151" s="9">
        <v>45838.0</v>
      </c>
      <c r="B151" s="6" t="s">
        <v>241</v>
      </c>
      <c r="C151" s="6" t="s">
        <v>177</v>
      </c>
      <c r="D151" s="3">
        <v>350.0</v>
      </c>
      <c r="E151" s="6" t="s">
        <v>106</v>
      </c>
    </row>
    <row r="152">
      <c r="A152" s="9">
        <v>45838.0</v>
      </c>
      <c r="B152" s="6" t="s">
        <v>242</v>
      </c>
      <c r="C152" s="6" t="s">
        <v>70</v>
      </c>
      <c r="D152" s="3">
        <v>525.0</v>
      </c>
      <c r="E152" s="6" t="s">
        <v>106</v>
      </c>
    </row>
    <row r="153">
      <c r="A153" s="9">
        <v>45838.0</v>
      </c>
      <c r="B153" s="6" t="s">
        <v>222</v>
      </c>
      <c r="C153" s="6" t="s">
        <v>67</v>
      </c>
      <c r="D153" s="3">
        <v>555.0</v>
      </c>
      <c r="E153" s="6" t="s">
        <v>106</v>
      </c>
    </row>
    <row r="154">
      <c r="A154" s="9">
        <v>45839.0</v>
      </c>
      <c r="B154" s="6" t="s">
        <v>244</v>
      </c>
      <c r="C154" s="6" t="s">
        <v>118</v>
      </c>
      <c r="D154" s="3">
        <v>435.0</v>
      </c>
      <c r="E154" s="6" t="s">
        <v>106</v>
      </c>
    </row>
    <row r="155">
      <c r="A155" s="9">
        <v>45840.0</v>
      </c>
      <c r="B155" s="6" t="s">
        <v>246</v>
      </c>
      <c r="C155" s="6" t="s">
        <v>121</v>
      </c>
      <c r="D155" s="3">
        <v>290.0</v>
      </c>
      <c r="E155" s="6" t="s">
        <v>106</v>
      </c>
    </row>
    <row r="156">
      <c r="A156" s="9">
        <v>45849.0</v>
      </c>
      <c r="B156" s="6" t="s">
        <v>248</v>
      </c>
      <c r="C156" s="6" t="s">
        <v>55</v>
      </c>
      <c r="D156" s="3">
        <v>547.91</v>
      </c>
      <c r="E156" s="6" t="s">
        <v>106</v>
      </c>
    </row>
    <row r="157">
      <c r="A157" s="9">
        <v>45852.0</v>
      </c>
      <c r="B157" s="6" t="s">
        <v>250</v>
      </c>
      <c r="C157" s="6" t="s">
        <v>189</v>
      </c>
      <c r="D157" s="3">
        <v>365.0</v>
      </c>
      <c r="E157" s="6" t="s">
        <v>106</v>
      </c>
    </row>
    <row r="158">
      <c r="A158" s="9">
        <v>45852.0</v>
      </c>
      <c r="B158" s="6" t="s">
        <v>253</v>
      </c>
      <c r="C158" s="6" t="s">
        <v>121</v>
      </c>
      <c r="D158" s="3">
        <v>770.0</v>
      </c>
      <c r="E158" s="6" t="s">
        <v>106</v>
      </c>
    </row>
    <row r="159">
      <c r="A159" s="9">
        <v>45852.0</v>
      </c>
      <c r="B159" s="6" t="s">
        <v>256</v>
      </c>
      <c r="C159" s="6" t="s">
        <v>42</v>
      </c>
      <c r="D159" s="3">
        <v>765.0</v>
      </c>
      <c r="E159" s="6" t="s">
        <v>106</v>
      </c>
    </row>
    <row r="160">
      <c r="A160" s="9">
        <v>45852.0</v>
      </c>
      <c r="B160" s="6" t="s">
        <v>257</v>
      </c>
      <c r="C160" s="6" t="s">
        <v>259</v>
      </c>
      <c r="D160" s="3">
        <v>140.0</v>
      </c>
      <c r="E160" s="6" t="s">
        <v>106</v>
      </c>
    </row>
    <row r="161">
      <c r="A161" s="9">
        <v>45854.0</v>
      </c>
      <c r="B161" s="6" t="s">
        <v>261</v>
      </c>
      <c r="C161" s="6" t="s">
        <v>148</v>
      </c>
      <c r="D161" s="3">
        <v>140.0</v>
      </c>
      <c r="E161" s="6" t="s">
        <v>106</v>
      </c>
    </row>
    <row r="162">
      <c r="A162" s="9">
        <v>45856.0</v>
      </c>
      <c r="B162" s="6" t="s">
        <v>264</v>
      </c>
      <c r="C162" s="6" t="s">
        <v>118</v>
      </c>
      <c r="D162" s="3">
        <v>870.0</v>
      </c>
      <c r="E162" s="6" t="s">
        <v>106</v>
      </c>
    </row>
    <row r="163">
      <c r="A163" s="9">
        <v>45859.0</v>
      </c>
      <c r="B163" s="6" t="s">
        <v>265</v>
      </c>
      <c r="C163" s="6" t="s">
        <v>70</v>
      </c>
      <c r="D163" s="3">
        <v>140.0</v>
      </c>
      <c r="E163" s="6" t="s">
        <v>106</v>
      </c>
    </row>
    <row r="164">
      <c r="A164" s="9">
        <v>45867.0</v>
      </c>
      <c r="B164" s="6" t="s">
        <v>267</v>
      </c>
      <c r="C164" s="6" t="s">
        <v>78</v>
      </c>
      <c r="D164" s="3">
        <v>101.0</v>
      </c>
      <c r="E164" s="6" t="s">
        <v>106</v>
      </c>
    </row>
    <row r="165">
      <c r="A165" s="9">
        <v>45880.0</v>
      </c>
      <c r="B165" s="6" t="s">
        <v>270</v>
      </c>
      <c r="C165" s="6" t="s">
        <v>50</v>
      </c>
      <c r="D165" s="3">
        <v>160.0</v>
      </c>
      <c r="E165" s="6" t="s">
        <v>106</v>
      </c>
    </row>
    <row r="166">
      <c r="A166" s="9">
        <v>45881.0</v>
      </c>
      <c r="B166" s="6" t="s">
        <v>271</v>
      </c>
      <c r="C166" s="6" t="s">
        <v>272</v>
      </c>
      <c r="D166" s="3">
        <v>320.0</v>
      </c>
      <c r="E166" s="6" t="s">
        <v>106</v>
      </c>
    </row>
    <row r="167">
      <c r="A167" s="9">
        <v>45891.0</v>
      </c>
      <c r="B167" s="6" t="s">
        <v>273</v>
      </c>
      <c r="C167" s="6" t="s">
        <v>55</v>
      </c>
      <c r="D167" s="3">
        <v>600.0</v>
      </c>
      <c r="E167" s="6" t="s">
        <v>106</v>
      </c>
    </row>
    <row r="168">
      <c r="A168" s="9">
        <v>45891.0</v>
      </c>
      <c r="B168" s="6" t="s">
        <v>276</v>
      </c>
      <c r="C168" s="6" t="s">
        <v>50</v>
      </c>
      <c r="D168" s="3">
        <v>320.0</v>
      </c>
      <c r="E168" s="6" t="s">
        <v>106</v>
      </c>
    </row>
    <row r="169">
      <c r="A169" s="9">
        <v>45894.0</v>
      </c>
      <c r="B169" s="6" t="s">
        <v>277</v>
      </c>
      <c r="C169" s="6" t="s">
        <v>70</v>
      </c>
      <c r="D169" s="3">
        <v>140.0</v>
      </c>
      <c r="E169" s="6" t="s">
        <v>106</v>
      </c>
    </row>
    <row r="170">
      <c r="A170" s="9">
        <v>45908.0</v>
      </c>
      <c r="B170" s="6" t="s">
        <v>279</v>
      </c>
      <c r="C170" s="6" t="s">
        <v>189</v>
      </c>
      <c r="D170" s="3">
        <v>300.0</v>
      </c>
      <c r="E170" s="6" t="s">
        <v>106</v>
      </c>
    </row>
    <row r="171">
      <c r="A171" s="9">
        <v>45908.0</v>
      </c>
      <c r="B171" s="6" t="s">
        <v>280</v>
      </c>
      <c r="C171" s="6" t="s">
        <v>86</v>
      </c>
      <c r="D171" s="3">
        <v>300.0</v>
      </c>
      <c r="E171" s="6" t="s">
        <v>106</v>
      </c>
    </row>
    <row r="172">
      <c r="A172" s="9">
        <v>45908.0</v>
      </c>
      <c r="B172" s="6" t="s">
        <v>282</v>
      </c>
      <c r="C172" s="6" t="s">
        <v>50</v>
      </c>
      <c r="D172" s="3">
        <v>160.0</v>
      </c>
      <c r="E172" s="6" t="s">
        <v>106</v>
      </c>
    </row>
    <row r="173">
      <c r="A173" s="9">
        <v>45908.0</v>
      </c>
      <c r="B173" s="6" t="s">
        <v>283</v>
      </c>
      <c r="C173" s="6" t="s">
        <v>284</v>
      </c>
      <c r="D173" s="3">
        <v>435.0</v>
      </c>
      <c r="E173" s="6" t="s">
        <v>106</v>
      </c>
    </row>
    <row r="174">
      <c r="A174" s="9">
        <v>45908.0</v>
      </c>
      <c r="B174" s="6" t="s">
        <v>287</v>
      </c>
      <c r="C174" s="6" t="s">
        <v>259</v>
      </c>
      <c r="D174" s="3">
        <v>140.0</v>
      </c>
      <c r="E174" s="6" t="s">
        <v>106</v>
      </c>
    </row>
    <row r="175">
      <c r="A175" s="9">
        <v>45908.0</v>
      </c>
      <c r="B175" s="6" t="s">
        <v>288</v>
      </c>
      <c r="C175" s="6" t="s">
        <v>290</v>
      </c>
      <c r="D175" s="3">
        <v>540.0</v>
      </c>
      <c r="E175" s="6" t="s">
        <v>106</v>
      </c>
    </row>
    <row r="176">
      <c r="A176" s="9">
        <v>45922.0</v>
      </c>
      <c r="B176" s="6" t="s">
        <v>291</v>
      </c>
      <c r="C176" s="6" t="s">
        <v>53</v>
      </c>
      <c r="D176" s="3">
        <v>145.0</v>
      </c>
      <c r="E176" s="6" t="s">
        <v>106</v>
      </c>
    </row>
    <row r="177">
      <c r="A177" s="9">
        <v>45936.0</v>
      </c>
      <c r="B177" s="6" t="s">
        <v>292</v>
      </c>
      <c r="C177" s="6" t="s">
        <v>294</v>
      </c>
      <c r="D177" s="3">
        <v>145.0</v>
      </c>
      <c r="E177" s="6" t="s">
        <v>106</v>
      </c>
    </row>
    <row r="178">
      <c r="A178" s="9">
        <v>45936.0</v>
      </c>
      <c r="B178" s="6" t="s">
        <v>295</v>
      </c>
      <c r="C178" s="6" t="s">
        <v>55</v>
      </c>
      <c r="D178" s="3">
        <v>300.0</v>
      </c>
      <c r="E178" s="6" t="s">
        <v>106</v>
      </c>
    </row>
    <row r="179">
      <c r="A179" s="9">
        <v>45936.0</v>
      </c>
      <c r="B179" s="6" t="s">
        <v>297</v>
      </c>
      <c r="C179" s="6" t="s">
        <v>189</v>
      </c>
      <c r="D179" s="3">
        <v>480.0</v>
      </c>
      <c r="E179" s="6" t="s">
        <v>106</v>
      </c>
    </row>
    <row r="180">
      <c r="A180" s="9">
        <v>45936.0</v>
      </c>
      <c r="B180" s="6" t="s">
        <v>298</v>
      </c>
      <c r="C180" s="6" t="s">
        <v>70</v>
      </c>
      <c r="D180" s="3">
        <v>280.0</v>
      </c>
      <c r="E180" s="6" t="s">
        <v>106</v>
      </c>
    </row>
    <row r="181">
      <c r="A181" s="9">
        <v>45939.0</v>
      </c>
      <c r="B181" s="6" t="s">
        <v>300</v>
      </c>
      <c r="C181" s="6" t="s">
        <v>290</v>
      </c>
      <c r="D181" s="3">
        <v>540.0</v>
      </c>
      <c r="E181" s="6" t="s">
        <v>106</v>
      </c>
    </row>
    <row r="182">
      <c r="A182" s="65">
        <v>45947.0</v>
      </c>
      <c r="B182" s="6" t="s">
        <v>301</v>
      </c>
      <c r="C182" s="6" t="s">
        <v>55</v>
      </c>
      <c r="D182" s="3">
        <v>450.0</v>
      </c>
      <c r="E182" s="6" t="s">
        <v>106</v>
      </c>
    </row>
    <row r="183">
      <c r="A183" s="65">
        <v>45947.0</v>
      </c>
      <c r="B183" s="6" t="s">
        <v>302</v>
      </c>
      <c r="C183" s="6" t="s">
        <v>50</v>
      </c>
      <c r="D183" s="3">
        <v>165.0</v>
      </c>
      <c r="E183" s="6" t="s">
        <v>106</v>
      </c>
    </row>
    <row r="184">
      <c r="A184" s="65">
        <v>45950.0</v>
      </c>
      <c r="B184" s="6" t="s">
        <v>303</v>
      </c>
      <c r="C184" s="6" t="s">
        <v>189</v>
      </c>
      <c r="D184" s="3">
        <v>320.0</v>
      </c>
      <c r="E184" s="6" t="s">
        <v>106</v>
      </c>
    </row>
    <row r="185">
      <c r="A185" s="65">
        <v>45950.0</v>
      </c>
      <c r="B185" s="6" t="s">
        <v>304</v>
      </c>
      <c r="C185" s="6" t="s">
        <v>305</v>
      </c>
      <c r="D185" s="3">
        <v>506.0</v>
      </c>
      <c r="E185" s="6" t="s">
        <v>106</v>
      </c>
    </row>
    <row r="186">
      <c r="A186" s="65">
        <v>45961.0</v>
      </c>
      <c r="B186" s="6" t="s">
        <v>308</v>
      </c>
      <c r="C186" s="6" t="s">
        <v>67</v>
      </c>
      <c r="D186" s="3">
        <v>740.0</v>
      </c>
      <c r="E186" s="6" t="s">
        <v>106</v>
      </c>
    </row>
    <row r="187">
      <c r="A187" s="65">
        <v>45961.0</v>
      </c>
      <c r="B187" s="6" t="s">
        <v>309</v>
      </c>
      <c r="C187" s="6" t="s">
        <v>310</v>
      </c>
      <c r="D187" s="3">
        <v>380.0</v>
      </c>
      <c r="E187" s="6" t="s">
        <v>106</v>
      </c>
    </row>
    <row r="188">
      <c r="A188" s="65">
        <v>45961.0</v>
      </c>
      <c r="B188" s="6" t="s">
        <v>311</v>
      </c>
      <c r="C188" s="6" t="s">
        <v>50</v>
      </c>
      <c r="D188" s="3">
        <v>160.0</v>
      </c>
      <c r="E188" s="6" t="s">
        <v>106</v>
      </c>
    </row>
    <row r="189">
      <c r="A189" s="65">
        <v>45961.0</v>
      </c>
      <c r="B189" s="6" t="s">
        <v>313</v>
      </c>
      <c r="C189" s="6" t="s">
        <v>55</v>
      </c>
      <c r="D189" s="3">
        <v>735.0</v>
      </c>
      <c r="E189" s="6" t="s">
        <v>106</v>
      </c>
    </row>
    <row r="190">
      <c r="A190" s="65">
        <v>45961.0</v>
      </c>
      <c r="B190" s="6" t="s">
        <v>314</v>
      </c>
      <c r="C190" s="6" t="s">
        <v>189</v>
      </c>
      <c r="D190" s="3">
        <v>640.0</v>
      </c>
      <c r="E190" s="6" t="s">
        <v>106</v>
      </c>
    </row>
    <row r="191">
      <c r="A191" s="9">
        <v>45964.0</v>
      </c>
      <c r="B191" s="6" t="s">
        <v>316</v>
      </c>
      <c r="C191" s="6" t="s">
        <v>317</v>
      </c>
      <c r="D191" s="3">
        <v>150.0</v>
      </c>
      <c r="E191" s="6" t="s">
        <v>106</v>
      </c>
    </row>
    <row r="192">
      <c r="A192" s="9">
        <v>45964.0</v>
      </c>
      <c r="B192" s="6" t="s">
        <v>318</v>
      </c>
      <c r="C192" s="6" t="s">
        <v>70</v>
      </c>
      <c r="D192" s="3">
        <v>280.0</v>
      </c>
      <c r="E192" s="6" t="s">
        <v>106</v>
      </c>
    </row>
    <row r="193">
      <c r="A193" s="9">
        <v>45964.0</v>
      </c>
      <c r="B193" s="6" t="s">
        <v>321</v>
      </c>
      <c r="C193" s="6" t="s">
        <v>177</v>
      </c>
      <c r="D193" s="3">
        <v>180.0</v>
      </c>
      <c r="E193" s="6" t="s">
        <v>106</v>
      </c>
    </row>
    <row r="194">
      <c r="A194" s="9">
        <v>45964.0</v>
      </c>
      <c r="B194" s="6" t="s">
        <v>322</v>
      </c>
      <c r="C194" s="6" t="s">
        <v>105</v>
      </c>
      <c r="D194" s="3">
        <v>150.0</v>
      </c>
      <c r="E194" s="6" t="s">
        <v>106</v>
      </c>
    </row>
    <row r="195">
      <c r="A195" s="9">
        <v>45964.0</v>
      </c>
      <c r="B195" s="6" t="s">
        <v>324</v>
      </c>
      <c r="C195" s="6" t="s">
        <v>101</v>
      </c>
      <c r="D195" s="3">
        <v>180.0</v>
      </c>
      <c r="E195" s="6" t="s">
        <v>106</v>
      </c>
    </row>
    <row r="196">
      <c r="A196" s="65">
        <v>45971.0</v>
      </c>
      <c r="B196" s="6" t="s">
        <v>325</v>
      </c>
      <c r="C196" s="6" t="s">
        <v>42</v>
      </c>
      <c r="D196" s="3">
        <v>180.0</v>
      </c>
      <c r="E196" s="6" t="s">
        <v>106</v>
      </c>
    </row>
    <row r="197">
      <c r="A197" s="65">
        <v>45973.0</v>
      </c>
      <c r="B197" s="6" t="s">
        <v>326</v>
      </c>
      <c r="C197" s="6" t="s">
        <v>327</v>
      </c>
      <c r="D197" s="3">
        <v>100.0</v>
      </c>
      <c r="E197" s="6" t="s">
        <v>106</v>
      </c>
    </row>
    <row r="198">
      <c r="A198" s="65">
        <v>45975.0</v>
      </c>
      <c r="B198" s="6" t="s">
        <v>330</v>
      </c>
      <c r="C198" s="6" t="s">
        <v>189</v>
      </c>
      <c r="D198" s="3">
        <v>495.0</v>
      </c>
      <c r="E198" s="6" t="s">
        <v>106</v>
      </c>
    </row>
    <row r="199">
      <c r="A199" s="65">
        <v>45975.0</v>
      </c>
      <c r="B199" s="6" t="s">
        <v>331</v>
      </c>
      <c r="C199" s="6" t="s">
        <v>55</v>
      </c>
      <c r="D199" s="3">
        <v>750.0</v>
      </c>
      <c r="E199" s="6" t="s">
        <v>106</v>
      </c>
    </row>
    <row r="200">
      <c r="A200" s="65">
        <v>45975.0</v>
      </c>
      <c r="B200" s="6" t="s">
        <v>333</v>
      </c>
      <c r="C200" s="6" t="s">
        <v>334</v>
      </c>
      <c r="D200" s="3">
        <v>700.0</v>
      </c>
      <c r="E200" s="6" t="s">
        <v>106</v>
      </c>
    </row>
    <row r="201">
      <c r="A201" s="65">
        <v>45975.0</v>
      </c>
      <c r="B201" s="6" t="s">
        <v>335</v>
      </c>
      <c r="C201" s="6" t="s">
        <v>189</v>
      </c>
      <c r="D201" s="3">
        <v>150.0</v>
      </c>
      <c r="E201" s="6" t="s">
        <v>106</v>
      </c>
    </row>
    <row r="202">
      <c r="A202" s="65">
        <v>45978.0</v>
      </c>
      <c r="B202" s="6" t="s">
        <v>336</v>
      </c>
      <c r="C202" s="6" t="s">
        <v>67</v>
      </c>
      <c r="D202" s="3">
        <v>185.0</v>
      </c>
      <c r="E202" s="6" t="s">
        <v>106</v>
      </c>
    </row>
    <row r="203">
      <c r="A203" s="65">
        <v>45978.0</v>
      </c>
      <c r="B203" s="6" t="s">
        <v>337</v>
      </c>
      <c r="C203" s="6" t="s">
        <v>208</v>
      </c>
      <c r="D203" s="3">
        <v>1740.0</v>
      </c>
      <c r="E203" s="6" t="s">
        <v>106</v>
      </c>
    </row>
    <row r="204">
      <c r="A204" s="65">
        <v>45978.0</v>
      </c>
      <c r="B204" s="6" t="s">
        <v>339</v>
      </c>
      <c r="C204" s="6" t="s">
        <v>317</v>
      </c>
      <c r="D204" s="3">
        <v>900.0</v>
      </c>
      <c r="E204" s="6" t="s">
        <v>106</v>
      </c>
    </row>
    <row r="205">
      <c r="A205" s="65">
        <v>45978.0</v>
      </c>
      <c r="B205" s="6" t="s">
        <v>340</v>
      </c>
      <c r="C205" s="6" t="s">
        <v>70</v>
      </c>
      <c r="D205" s="3">
        <v>140.0</v>
      </c>
      <c r="E205" s="6" t="s">
        <v>106</v>
      </c>
    </row>
    <row r="206">
      <c r="A206" s="65">
        <v>45980.0</v>
      </c>
      <c r="B206" s="6" t="s">
        <v>198</v>
      </c>
      <c r="C206" s="6" t="s">
        <v>342</v>
      </c>
      <c r="D206" s="3">
        <v>288.0</v>
      </c>
      <c r="E206" s="6" t="s">
        <v>106</v>
      </c>
    </row>
    <row r="207">
      <c r="A207" s="9">
        <v>45992.0</v>
      </c>
      <c r="B207" s="6" t="s">
        <v>343</v>
      </c>
      <c r="C207" s="6" t="s">
        <v>67</v>
      </c>
      <c r="D207" s="3">
        <v>370.0</v>
      </c>
      <c r="E207" s="6" t="s">
        <v>106</v>
      </c>
    </row>
    <row r="208">
      <c r="A208" s="9">
        <v>45992.0</v>
      </c>
      <c r="B208" s="6" t="s">
        <v>346</v>
      </c>
      <c r="C208" s="6" t="s">
        <v>55</v>
      </c>
      <c r="D208" s="3">
        <v>1813.95</v>
      </c>
      <c r="E208" s="6" t="s">
        <v>106</v>
      </c>
    </row>
    <row r="209">
      <c r="A209" s="9">
        <v>45992.0</v>
      </c>
      <c r="B209" s="6" t="s">
        <v>347</v>
      </c>
      <c r="C209" s="6" t="s">
        <v>334</v>
      </c>
      <c r="D209" s="3">
        <v>1320.0</v>
      </c>
      <c r="E209" s="6" t="s">
        <v>106</v>
      </c>
    </row>
    <row r="210">
      <c r="A210" s="9">
        <v>45992.0</v>
      </c>
      <c r="B210" s="6" t="s">
        <v>348</v>
      </c>
      <c r="C210" s="6" t="s">
        <v>284</v>
      </c>
      <c r="D210" s="3">
        <v>1740.0</v>
      </c>
      <c r="E210" s="6" t="s">
        <v>106</v>
      </c>
    </row>
    <row r="211">
      <c r="A211" s="9">
        <v>45992.0</v>
      </c>
      <c r="B211" s="6" t="s">
        <v>349</v>
      </c>
      <c r="C211" s="6" t="s">
        <v>189</v>
      </c>
      <c r="D211" s="3">
        <v>448.0</v>
      </c>
      <c r="E211" s="6" t="s">
        <v>106</v>
      </c>
    </row>
    <row r="212">
      <c r="A212" s="9">
        <v>45999.0</v>
      </c>
      <c r="B212" s="6" t="s">
        <v>198</v>
      </c>
      <c r="C212" s="6" t="s">
        <v>342</v>
      </c>
      <c r="D212" s="3">
        <v>174.0</v>
      </c>
      <c r="E212" s="6" t="s">
        <v>106</v>
      </c>
    </row>
    <row r="213">
      <c r="A213" s="65">
        <v>46006.0</v>
      </c>
      <c r="B213" s="6" t="s">
        <v>351</v>
      </c>
      <c r="C213" s="6" t="s">
        <v>55</v>
      </c>
      <c r="D213" s="3">
        <v>1050.0</v>
      </c>
      <c r="E213" s="6" t="s">
        <v>106</v>
      </c>
    </row>
    <row r="214">
      <c r="A214" s="65">
        <v>46006.0</v>
      </c>
      <c r="B214" s="6" t="s">
        <v>353</v>
      </c>
      <c r="C214" s="6" t="s">
        <v>70</v>
      </c>
      <c r="D214" s="3">
        <v>870.0</v>
      </c>
      <c r="E214" s="6" t="s">
        <v>106</v>
      </c>
    </row>
    <row r="215">
      <c r="A215" s="65">
        <v>46006.0</v>
      </c>
      <c r="B215" s="6" t="s">
        <v>355</v>
      </c>
      <c r="C215" s="6" t="s">
        <v>189</v>
      </c>
      <c r="D215" s="3">
        <v>660.0</v>
      </c>
      <c r="E215" s="6" t="s">
        <v>106</v>
      </c>
    </row>
    <row r="216">
      <c r="A216" s="65">
        <v>46006.0</v>
      </c>
      <c r="B216" s="6" t="s">
        <v>356</v>
      </c>
      <c r="C216" s="6" t="s">
        <v>334</v>
      </c>
      <c r="D216" s="3">
        <v>1847.0</v>
      </c>
      <c r="E216" s="6" t="s">
        <v>106</v>
      </c>
    </row>
    <row r="217">
      <c r="A217" s="65">
        <v>46006.0</v>
      </c>
      <c r="B217" s="6" t="s">
        <v>358</v>
      </c>
      <c r="C217" s="6" t="s">
        <v>208</v>
      </c>
      <c r="D217" s="3">
        <v>1595.0</v>
      </c>
      <c r="E217" s="6" t="s">
        <v>106</v>
      </c>
    </row>
    <row r="218">
      <c r="A218" s="65">
        <v>46009.0</v>
      </c>
      <c r="B218" s="6" t="s">
        <v>360</v>
      </c>
      <c r="C218" s="6" t="s">
        <v>290</v>
      </c>
      <c r="D218" s="3">
        <v>1080.0</v>
      </c>
      <c r="E218" s="6" t="s">
        <v>106</v>
      </c>
    </row>
    <row r="219">
      <c r="A219" s="65">
        <v>46020.0</v>
      </c>
      <c r="B219" s="6" t="s">
        <v>361</v>
      </c>
      <c r="C219" s="6" t="s">
        <v>50</v>
      </c>
      <c r="D219" s="3">
        <v>660.0</v>
      </c>
      <c r="E219" s="6" t="s">
        <v>106</v>
      </c>
    </row>
    <row r="220">
      <c r="A220" s="65">
        <v>46020.0</v>
      </c>
      <c r="B220" s="6" t="s">
        <v>362</v>
      </c>
      <c r="C220" s="6" t="s">
        <v>148</v>
      </c>
      <c r="D220" s="3">
        <v>145.0</v>
      </c>
      <c r="E220" s="6" t="s">
        <v>106</v>
      </c>
    </row>
    <row r="221">
      <c r="A221" s="65">
        <v>46020.0</v>
      </c>
      <c r="B221" s="6" t="s">
        <v>363</v>
      </c>
      <c r="C221" s="6" t="s">
        <v>208</v>
      </c>
      <c r="D221" s="3">
        <v>1341.0</v>
      </c>
      <c r="E221" s="6" t="s">
        <v>106</v>
      </c>
    </row>
    <row r="222">
      <c r="A222" s="65">
        <v>46020.0</v>
      </c>
      <c r="B222" s="6" t="s">
        <v>365</v>
      </c>
      <c r="C222" s="6" t="s">
        <v>70</v>
      </c>
      <c r="D222" s="3">
        <v>471.0</v>
      </c>
      <c r="E222" s="6" t="s">
        <v>106</v>
      </c>
    </row>
    <row r="223">
      <c r="A223" s="65">
        <v>46020.0</v>
      </c>
      <c r="B223" s="6" t="s">
        <v>366</v>
      </c>
      <c r="C223" s="6" t="s">
        <v>367</v>
      </c>
      <c r="D223" s="3">
        <v>1525.0</v>
      </c>
      <c r="E223" s="6" t="s">
        <v>106</v>
      </c>
    </row>
    <row r="224">
      <c r="A224" s="9">
        <v>46027.0</v>
      </c>
      <c r="B224" s="6" t="s">
        <v>369</v>
      </c>
      <c r="C224" s="6" t="s">
        <v>290</v>
      </c>
      <c r="D224" s="3">
        <v>231.0</v>
      </c>
    </row>
    <row r="225">
      <c r="A225" s="9">
        <v>46045.0</v>
      </c>
      <c r="B225" s="6" t="s">
        <v>371</v>
      </c>
      <c r="C225" s="6" t="s">
        <v>50</v>
      </c>
      <c r="D225" s="3">
        <v>1402.52</v>
      </c>
    </row>
    <row r="226">
      <c r="A226" s="9">
        <v>46048.0</v>
      </c>
      <c r="B226" s="6" t="s">
        <v>373</v>
      </c>
      <c r="C226" s="6" t="s">
        <v>67</v>
      </c>
      <c r="D226" s="3">
        <v>925.0</v>
      </c>
    </row>
    <row r="227">
      <c r="A227" s="9">
        <v>46048.0</v>
      </c>
      <c r="B227" s="6" t="s">
        <v>375</v>
      </c>
      <c r="C227" s="6" t="s">
        <v>70</v>
      </c>
      <c r="D227" s="3">
        <v>145.0</v>
      </c>
    </row>
    <row r="228">
      <c r="A228" s="9">
        <v>46031.0</v>
      </c>
      <c r="B228" s="6" t="s">
        <v>376</v>
      </c>
      <c r="C228" s="6" t="s">
        <v>55</v>
      </c>
      <c r="D228" s="3">
        <v>732.0</v>
      </c>
    </row>
    <row r="229">
      <c r="A229" s="9">
        <v>46034.0</v>
      </c>
      <c r="B229" s="6" t="s">
        <v>378</v>
      </c>
      <c r="C229" s="6" t="s">
        <v>50</v>
      </c>
      <c r="D229" s="3">
        <v>515.63</v>
      </c>
    </row>
    <row r="230">
      <c r="A230" s="9">
        <v>46036.0</v>
      </c>
      <c r="B230" s="6" t="s">
        <v>379</v>
      </c>
      <c r="C230" s="6" t="s">
        <v>148</v>
      </c>
      <c r="D230" s="3">
        <v>1160.0</v>
      </c>
    </row>
    <row r="231">
      <c r="A231" s="9">
        <v>46034.0</v>
      </c>
      <c r="B231" s="6" t="s">
        <v>381</v>
      </c>
      <c r="C231" s="6" t="s">
        <v>208</v>
      </c>
      <c r="D231" s="3">
        <v>1486.25</v>
      </c>
    </row>
    <row r="232">
      <c r="A232" s="9">
        <v>46042.0</v>
      </c>
      <c r="B232" s="6" t="s">
        <v>382</v>
      </c>
      <c r="C232" s="6" t="s">
        <v>70</v>
      </c>
      <c r="D232" s="3">
        <v>1305.0</v>
      </c>
    </row>
    <row r="233">
      <c r="A233" s="9">
        <v>46035.0</v>
      </c>
      <c r="B233" s="6" t="s">
        <v>385</v>
      </c>
      <c r="C233" s="6" t="s">
        <v>290</v>
      </c>
      <c r="D233" s="3">
        <v>1620.0</v>
      </c>
    </row>
    <row r="234">
      <c r="A234" s="9">
        <v>46034.0</v>
      </c>
      <c r="B234" s="6" t="s">
        <v>386</v>
      </c>
      <c r="C234" s="6" t="s">
        <v>334</v>
      </c>
      <c r="D234" s="3">
        <v>1485.0</v>
      </c>
    </row>
    <row r="235">
      <c r="A235" s="9">
        <v>46034.0</v>
      </c>
      <c r="B235" s="6" t="s">
        <v>388</v>
      </c>
      <c r="C235" s="6" t="s">
        <v>189</v>
      </c>
      <c r="D235" s="3">
        <v>495.0</v>
      </c>
    </row>
    <row r="236">
      <c r="A236" s="9">
        <v>46048.0</v>
      </c>
      <c r="B236" s="6" t="s">
        <v>389</v>
      </c>
      <c r="C236" s="6" t="s">
        <v>334</v>
      </c>
      <c r="D236" s="3">
        <v>247.5</v>
      </c>
    </row>
    <row r="237">
      <c r="A237" s="9">
        <v>46050.0</v>
      </c>
      <c r="B237" s="6" t="s">
        <v>390</v>
      </c>
      <c r="C237" s="6" t="s">
        <v>208</v>
      </c>
      <c r="D237" s="3">
        <v>805.0</v>
      </c>
    </row>
    <row r="238">
      <c r="A238" s="9">
        <v>46052.0</v>
      </c>
      <c r="B238" s="6" t="s">
        <v>391</v>
      </c>
      <c r="C238" s="6" t="s">
        <v>148</v>
      </c>
      <c r="D238" s="3">
        <v>725.0</v>
      </c>
    </row>
    <row r="239">
      <c r="A239" s="9">
        <v>46062.0</v>
      </c>
      <c r="B239" s="6" t="s">
        <v>392</v>
      </c>
      <c r="C239" s="6" t="s">
        <v>50</v>
      </c>
      <c r="D239" s="3">
        <v>465.0</v>
      </c>
    </row>
    <row r="240">
      <c r="A240" s="9">
        <v>46062.0</v>
      </c>
      <c r="B240" s="6" t="s">
        <v>393</v>
      </c>
      <c r="C240" s="6" t="s">
        <v>67</v>
      </c>
      <c r="D240" s="3">
        <v>1295.0</v>
      </c>
    </row>
    <row r="241">
      <c r="A241" s="9">
        <v>46063.0</v>
      </c>
      <c r="B241" s="6" t="s">
        <v>395</v>
      </c>
      <c r="C241" s="6" t="s">
        <v>148</v>
      </c>
      <c r="D241" s="3">
        <v>870.0</v>
      </c>
    </row>
    <row r="242">
      <c r="A242" s="9">
        <v>46062.0</v>
      </c>
      <c r="B242" s="6" t="s">
        <v>396</v>
      </c>
      <c r="C242" s="6" t="s">
        <v>189</v>
      </c>
      <c r="D242" s="3">
        <v>500.0</v>
      </c>
    </row>
    <row r="243">
      <c r="A243" s="9">
        <v>46073.0</v>
      </c>
      <c r="B243" s="6" t="s">
        <v>398</v>
      </c>
      <c r="C243" s="6" t="s">
        <v>189</v>
      </c>
      <c r="D243" s="3">
        <v>550.0</v>
      </c>
    </row>
    <row r="244">
      <c r="A244" s="9">
        <v>46073.0</v>
      </c>
      <c r="B244" s="6" t="s">
        <v>400</v>
      </c>
      <c r="C244" s="6" t="s">
        <v>189</v>
      </c>
      <c r="D244" s="3">
        <v>80.0</v>
      </c>
    </row>
    <row r="245">
      <c r="A245" s="9">
        <v>46079.0</v>
      </c>
      <c r="B245" s="6" t="s">
        <v>402</v>
      </c>
      <c r="C245" s="6" t="s">
        <v>148</v>
      </c>
      <c r="D245" s="3">
        <v>1160.0</v>
      </c>
    </row>
    <row r="246">
      <c r="A246" s="9">
        <v>46076.0</v>
      </c>
      <c r="B246" s="6" t="s">
        <v>403</v>
      </c>
      <c r="C246" s="6" t="s">
        <v>67</v>
      </c>
      <c r="D246" s="3">
        <v>925.0</v>
      </c>
    </row>
    <row r="247">
      <c r="A247" s="9">
        <v>46076.0</v>
      </c>
      <c r="B247" s="6" t="s">
        <v>404</v>
      </c>
      <c r="C247" s="6" t="s">
        <v>50</v>
      </c>
      <c r="D247" s="3">
        <v>990.0</v>
      </c>
    </row>
    <row r="248">
      <c r="A248" s="9">
        <v>46080.0</v>
      </c>
      <c r="B248" s="6" t="s">
        <v>405</v>
      </c>
      <c r="C248" s="6" t="s">
        <v>327</v>
      </c>
      <c r="D248" s="3">
        <v>140.0</v>
      </c>
    </row>
    <row r="249">
      <c r="A249" s="9">
        <v>46090.0</v>
      </c>
      <c r="B249" s="6" t="s">
        <v>407</v>
      </c>
      <c r="C249" s="6" t="s">
        <v>50</v>
      </c>
      <c r="D249" s="3">
        <v>495.0</v>
      </c>
    </row>
    <row r="250">
      <c r="A250" s="9">
        <v>46090.0</v>
      </c>
      <c r="B250" s="6" t="s">
        <v>408</v>
      </c>
      <c r="C250" s="6" t="s">
        <v>67</v>
      </c>
      <c r="D250" s="3">
        <v>555.0</v>
      </c>
    </row>
    <row r="251">
      <c r="A251" s="9">
        <v>46090.0</v>
      </c>
      <c r="B251" s="6" t="s">
        <v>410</v>
      </c>
      <c r="C251" s="6" t="s">
        <v>148</v>
      </c>
      <c r="D251" s="3">
        <v>1087.0</v>
      </c>
    </row>
    <row r="252">
      <c r="A252" s="9">
        <v>46090.0</v>
      </c>
      <c r="B252" s="6" t="s">
        <v>411</v>
      </c>
      <c r="C252" s="6" t="s">
        <v>284</v>
      </c>
      <c r="D252" s="3">
        <v>1305.0</v>
      </c>
    </row>
    <row r="253">
      <c r="A253" s="9">
        <v>46090.0</v>
      </c>
      <c r="B253" s="6" t="s">
        <v>414</v>
      </c>
      <c r="C253" s="6" t="s">
        <v>177</v>
      </c>
      <c r="D253" s="3">
        <v>925.0</v>
      </c>
    </row>
    <row r="254">
      <c r="A254" s="9">
        <v>46090.0</v>
      </c>
      <c r="B254" s="6" t="s">
        <v>415</v>
      </c>
      <c r="C254" s="6" t="s">
        <v>317</v>
      </c>
      <c r="D254" s="3">
        <v>1050.0</v>
      </c>
    </row>
    <row r="255">
      <c r="A255" s="9">
        <v>46090.0</v>
      </c>
      <c r="B255" s="6" t="s">
        <v>418</v>
      </c>
      <c r="C255" s="6" t="s">
        <v>294</v>
      </c>
      <c r="D255" s="3">
        <v>750.0</v>
      </c>
    </row>
    <row r="256">
      <c r="A256" s="9">
        <v>46090.0</v>
      </c>
      <c r="B256" s="6" t="s">
        <v>419</v>
      </c>
      <c r="C256" s="6" t="s">
        <v>334</v>
      </c>
      <c r="D256" s="3">
        <v>825.0</v>
      </c>
    </row>
    <row r="257">
      <c r="A257" s="9">
        <v>46104.0</v>
      </c>
      <c r="B257" s="6" t="s">
        <v>421</v>
      </c>
      <c r="C257" s="6" t="s">
        <v>50</v>
      </c>
      <c r="D257" s="3">
        <v>721.0</v>
      </c>
    </row>
    <row r="258">
      <c r="A258" s="9">
        <v>46091.0</v>
      </c>
      <c r="B258" s="6" t="s">
        <v>422</v>
      </c>
      <c r="C258" s="6" t="s">
        <v>423</v>
      </c>
      <c r="D258" s="3">
        <v>600.0</v>
      </c>
    </row>
    <row r="259">
      <c r="A259" s="9">
        <v>46104.0</v>
      </c>
      <c r="B259" s="6" t="s">
        <v>425</v>
      </c>
      <c r="C259" s="6" t="s">
        <v>67</v>
      </c>
      <c r="D259" s="3">
        <v>809.0</v>
      </c>
    </row>
    <row r="260">
      <c r="A260" s="9">
        <v>46104.0</v>
      </c>
      <c r="B260" s="6" t="s">
        <v>426</v>
      </c>
      <c r="C260" s="6" t="s">
        <v>86</v>
      </c>
      <c r="D260" s="3">
        <v>806.0</v>
      </c>
    </row>
    <row r="261">
      <c r="A261" s="9">
        <v>46104.0</v>
      </c>
      <c r="B261" s="6" t="s">
        <v>428</v>
      </c>
      <c r="C261" s="6" t="s">
        <v>148</v>
      </c>
      <c r="D261" s="3">
        <v>688.0</v>
      </c>
    </row>
    <row r="262">
      <c r="A262" s="9">
        <v>46104.0</v>
      </c>
      <c r="B262" s="6" t="s">
        <v>430</v>
      </c>
      <c r="C262" s="6" t="s">
        <v>284</v>
      </c>
      <c r="D262" s="3">
        <v>833.0</v>
      </c>
    </row>
    <row r="263">
      <c r="A263" s="9">
        <v>46104.0</v>
      </c>
      <c r="B263" s="6" t="s">
        <v>432</v>
      </c>
      <c r="C263" s="6" t="s">
        <v>70</v>
      </c>
      <c r="D263" s="3">
        <v>833.0</v>
      </c>
    </row>
    <row r="264">
      <c r="A264" s="9">
        <v>46104.0</v>
      </c>
      <c r="B264" s="6" t="s">
        <v>433</v>
      </c>
      <c r="C264" s="6" t="s">
        <v>177</v>
      </c>
      <c r="D264" s="3">
        <v>948.0</v>
      </c>
    </row>
    <row r="265">
      <c r="A265" s="9">
        <v>46104.0</v>
      </c>
      <c r="B265" s="6" t="s">
        <v>435</v>
      </c>
      <c r="C265" s="6" t="s">
        <v>317</v>
      </c>
      <c r="D265" s="3">
        <v>858.0</v>
      </c>
    </row>
    <row r="266">
      <c r="A266" s="9">
        <v>46104.0</v>
      </c>
      <c r="B266" s="6" t="s">
        <v>436</v>
      </c>
      <c r="C266" s="6" t="s">
        <v>294</v>
      </c>
      <c r="D266" s="3">
        <v>918.0</v>
      </c>
    </row>
    <row r="267">
      <c r="A267" s="9">
        <v>46106.0</v>
      </c>
      <c r="B267" s="6" t="s">
        <v>437</v>
      </c>
      <c r="C267" s="6" t="s">
        <v>423</v>
      </c>
      <c r="D267" s="3">
        <v>500.0</v>
      </c>
    </row>
    <row r="268">
      <c r="A268" s="9">
        <v>46106.0</v>
      </c>
      <c r="B268" s="6" t="s">
        <v>438</v>
      </c>
      <c r="C268" s="6" t="s">
        <v>189</v>
      </c>
      <c r="D268" s="3">
        <v>375.0</v>
      </c>
    </row>
    <row r="269">
      <c r="A269" s="9">
        <v>46133.0</v>
      </c>
      <c r="B269" s="6" t="s">
        <v>441</v>
      </c>
      <c r="C269" s="6" t="s">
        <v>290</v>
      </c>
      <c r="D269" s="3">
        <v>185.0</v>
      </c>
    </row>
    <row r="270">
      <c r="A270" s="9">
        <v>46118.0</v>
      </c>
      <c r="B270" s="6" t="s">
        <v>442</v>
      </c>
      <c r="C270" s="6" t="s">
        <v>148</v>
      </c>
      <c r="D270" s="3">
        <v>290.0</v>
      </c>
    </row>
    <row r="271">
      <c r="A271" s="9">
        <v>46133.0</v>
      </c>
      <c r="B271" s="6" t="s">
        <v>445</v>
      </c>
      <c r="C271" s="6" t="s">
        <v>208</v>
      </c>
      <c r="D271" s="3">
        <v>450.0</v>
      </c>
    </row>
    <row r="272">
      <c r="A272" s="9">
        <v>46119.0</v>
      </c>
      <c r="B272" s="6" t="s">
        <v>446</v>
      </c>
      <c r="C272" s="6" t="s">
        <v>177</v>
      </c>
      <c r="D272" s="3">
        <v>165.0</v>
      </c>
    </row>
    <row r="273">
      <c r="A273" s="9">
        <v>46125.0</v>
      </c>
      <c r="B273" s="6" t="s">
        <v>447</v>
      </c>
      <c r="C273" s="6" t="s">
        <v>294</v>
      </c>
      <c r="D273" s="3">
        <v>150.0</v>
      </c>
    </row>
    <row r="274">
      <c r="A274" s="9">
        <v>46119.0</v>
      </c>
      <c r="B274" s="6" t="s">
        <v>448</v>
      </c>
      <c r="C274" s="6" t="s">
        <v>317</v>
      </c>
      <c r="D274" s="3">
        <v>150.0</v>
      </c>
    </row>
    <row r="275">
      <c r="A275" s="9">
        <v>46118.0</v>
      </c>
      <c r="B275" s="6" t="s">
        <v>449</v>
      </c>
      <c r="C275" s="6" t="s">
        <v>189</v>
      </c>
      <c r="D275" s="3">
        <v>495.0</v>
      </c>
    </row>
    <row r="276">
      <c r="A276" s="9">
        <v>46118.0</v>
      </c>
      <c r="B276" s="6" t="s">
        <v>451</v>
      </c>
      <c r="C276" s="6" t="s">
        <v>423</v>
      </c>
      <c r="D276" s="3">
        <v>200.0</v>
      </c>
    </row>
    <row r="277">
      <c r="A277" s="9">
        <v>46121.0</v>
      </c>
      <c r="B277" s="6" t="s">
        <v>452</v>
      </c>
      <c r="C277" s="6" t="s">
        <v>55</v>
      </c>
      <c r="D277" s="3">
        <v>350.0</v>
      </c>
    </row>
    <row r="278">
      <c r="A278" s="9">
        <v>46129.0</v>
      </c>
      <c r="B278" s="6" t="s">
        <v>453</v>
      </c>
      <c r="C278" s="6" t="s">
        <v>55</v>
      </c>
      <c r="D278" s="3">
        <v>750.0</v>
      </c>
    </row>
    <row r="279">
      <c r="A279" s="9">
        <v>46132.0</v>
      </c>
      <c r="B279" s="6" t="s">
        <v>454</v>
      </c>
      <c r="C279" s="6" t="s">
        <v>67</v>
      </c>
      <c r="D279" s="3">
        <v>869.0</v>
      </c>
    </row>
    <row r="280">
      <c r="A280" s="9">
        <v>46132.0</v>
      </c>
      <c r="B280" s="6" t="s">
        <v>455</v>
      </c>
      <c r="C280" s="6" t="s">
        <v>50</v>
      </c>
      <c r="D280" s="3">
        <v>557.0</v>
      </c>
    </row>
    <row r="281">
      <c r="A281" s="9">
        <v>46133.0</v>
      </c>
      <c r="B281" s="6" t="s">
        <v>456</v>
      </c>
      <c r="C281" s="6" t="s">
        <v>148</v>
      </c>
      <c r="D281" s="3">
        <v>906.25</v>
      </c>
    </row>
    <row r="282">
      <c r="A282" s="9">
        <v>46133.0</v>
      </c>
      <c r="B282" s="6" t="s">
        <v>457</v>
      </c>
      <c r="C282" s="6" t="s">
        <v>208</v>
      </c>
      <c r="D282" s="3">
        <v>750.0</v>
      </c>
    </row>
    <row r="283">
      <c r="A283" s="9">
        <v>46132.0</v>
      </c>
      <c r="B283" s="6" t="s">
        <v>458</v>
      </c>
      <c r="C283" s="6" t="s">
        <v>317</v>
      </c>
      <c r="D283" s="3">
        <v>1050.0</v>
      </c>
    </row>
    <row r="284">
      <c r="A284" s="9">
        <v>46129.0</v>
      </c>
      <c r="B284" s="6" t="s">
        <v>459</v>
      </c>
      <c r="C284" s="6" t="s">
        <v>189</v>
      </c>
      <c r="D284" s="3">
        <v>413.0</v>
      </c>
    </row>
    <row r="285">
      <c r="A285" s="9">
        <v>46134.0</v>
      </c>
      <c r="B285" s="6" t="s">
        <v>461</v>
      </c>
      <c r="C285" s="6" t="s">
        <v>334</v>
      </c>
      <c r="D285" s="3">
        <v>1815.0</v>
      </c>
    </row>
    <row r="286">
      <c r="A286" s="9">
        <v>46135.0</v>
      </c>
      <c r="B286" s="6" t="s">
        <v>462</v>
      </c>
      <c r="C286" s="6" t="s">
        <v>463</v>
      </c>
      <c r="D286" s="3">
        <v>450.0</v>
      </c>
    </row>
    <row r="287">
      <c r="A287" s="9">
        <v>46134.0</v>
      </c>
      <c r="B287" s="6" t="s">
        <v>464</v>
      </c>
      <c r="C287" s="6" t="s">
        <v>327</v>
      </c>
      <c r="D287" s="3">
        <v>100.0</v>
      </c>
    </row>
    <row r="288">
      <c r="A288" s="9">
        <v>46160.0</v>
      </c>
      <c r="B288" s="6" t="s">
        <v>465</v>
      </c>
      <c r="C288" s="6" t="s">
        <v>121</v>
      </c>
      <c r="D288" s="3">
        <v>1450.0</v>
      </c>
    </row>
    <row r="289">
      <c r="A289" s="9">
        <v>46146.0</v>
      </c>
      <c r="B289" s="6" t="s">
        <v>466</v>
      </c>
      <c r="C289" s="6" t="s">
        <v>70</v>
      </c>
      <c r="D289" s="3">
        <v>580.0</v>
      </c>
    </row>
    <row r="290">
      <c r="A290" s="9">
        <v>46146.0</v>
      </c>
      <c r="B290" s="6" t="s">
        <v>469</v>
      </c>
      <c r="C290" s="6" t="s">
        <v>50</v>
      </c>
      <c r="D290" s="3">
        <v>742.0</v>
      </c>
    </row>
    <row r="291">
      <c r="A291" s="9">
        <v>46146.0</v>
      </c>
      <c r="B291" s="6" t="s">
        <v>470</v>
      </c>
      <c r="C291" s="6" t="s">
        <v>67</v>
      </c>
      <c r="D291" s="3">
        <v>809.0</v>
      </c>
    </row>
    <row r="292">
      <c r="A292" s="9">
        <v>46146.0</v>
      </c>
      <c r="B292" s="6" t="s">
        <v>471</v>
      </c>
      <c r="C292" s="6" t="s">
        <v>55</v>
      </c>
      <c r="D292" s="3">
        <v>600.0</v>
      </c>
    </row>
    <row r="293">
      <c r="A293" s="9">
        <v>46146.0</v>
      </c>
      <c r="B293" s="6" t="s">
        <v>472</v>
      </c>
      <c r="C293" s="6" t="s">
        <v>148</v>
      </c>
      <c r="D293" s="3">
        <v>336.0</v>
      </c>
    </row>
    <row r="294">
      <c r="A294" s="9">
        <v>46147.0</v>
      </c>
      <c r="B294" s="6" t="s">
        <v>474</v>
      </c>
      <c r="C294" s="6" t="s">
        <v>208</v>
      </c>
      <c r="D294" s="3">
        <v>750.0</v>
      </c>
    </row>
    <row r="295">
      <c r="A295" s="9">
        <v>46146.0</v>
      </c>
      <c r="B295" s="6" t="s">
        <v>475</v>
      </c>
      <c r="C295" s="6" t="s">
        <v>70</v>
      </c>
      <c r="D295" s="3">
        <v>743.0</v>
      </c>
    </row>
    <row r="296">
      <c r="A296" s="9">
        <v>46146.0</v>
      </c>
      <c r="B296" s="6" t="s">
        <v>476</v>
      </c>
      <c r="C296" s="6" t="s">
        <v>317</v>
      </c>
      <c r="D296" s="3">
        <v>450.0</v>
      </c>
    </row>
    <row r="297">
      <c r="A297" s="9">
        <v>46146.0</v>
      </c>
      <c r="B297" s="6" t="s">
        <v>477</v>
      </c>
      <c r="C297" s="6" t="s">
        <v>334</v>
      </c>
      <c r="D297" s="3">
        <v>495.0</v>
      </c>
    </row>
    <row r="298">
      <c r="A298" s="9">
        <v>46146.0</v>
      </c>
      <c r="B298" s="6" t="s">
        <v>478</v>
      </c>
      <c r="C298" s="6" t="s">
        <v>121</v>
      </c>
      <c r="D298" s="3">
        <v>400.0</v>
      </c>
    </row>
    <row r="299">
      <c r="A299" s="9">
        <v>46147.0</v>
      </c>
      <c r="B299" s="6" t="s">
        <v>480</v>
      </c>
      <c r="C299" s="6" t="s">
        <v>189</v>
      </c>
      <c r="D299" s="3">
        <v>495.0</v>
      </c>
    </row>
    <row r="300">
      <c r="A300" s="9">
        <v>46146.0</v>
      </c>
      <c r="B300" s="6" t="s">
        <v>481</v>
      </c>
      <c r="C300" s="6" t="s">
        <v>482</v>
      </c>
      <c r="D300" s="3">
        <v>450.0</v>
      </c>
    </row>
    <row r="301">
      <c r="A301" s="9">
        <v>46160.0</v>
      </c>
      <c r="B301" s="6" t="s">
        <v>484</v>
      </c>
      <c r="C301" s="6" t="s">
        <v>70</v>
      </c>
      <c r="D301" s="3">
        <v>290.0</v>
      </c>
    </row>
    <row r="302">
      <c r="A302" s="9">
        <v>46160.0</v>
      </c>
      <c r="B302" s="6" t="s">
        <v>485</v>
      </c>
      <c r="C302" s="6" t="s">
        <v>482</v>
      </c>
      <c r="D302" s="3">
        <v>150.0</v>
      </c>
    </row>
    <row r="303">
      <c r="A303" s="9">
        <v>46160.0</v>
      </c>
      <c r="B303" s="6" t="s">
        <v>487</v>
      </c>
      <c r="C303" s="6" t="s">
        <v>177</v>
      </c>
      <c r="D303" s="3">
        <v>180.0</v>
      </c>
    </row>
    <row r="304">
      <c r="A304" s="9">
        <v>46160.0</v>
      </c>
      <c r="B304" s="6" t="s">
        <v>488</v>
      </c>
      <c r="C304" s="6" t="s">
        <v>294</v>
      </c>
      <c r="D304" s="3">
        <v>150.0</v>
      </c>
    </row>
    <row r="305">
      <c r="A305" s="9">
        <v>46160.0</v>
      </c>
      <c r="B305" s="6" t="s">
        <v>489</v>
      </c>
      <c r="C305" s="6" t="s">
        <v>423</v>
      </c>
      <c r="D305" s="3">
        <v>200.0</v>
      </c>
    </row>
    <row r="306">
      <c r="A306" s="9">
        <v>46163.0</v>
      </c>
      <c r="B306" s="6" t="s">
        <v>490</v>
      </c>
      <c r="C306" s="6" t="s">
        <v>189</v>
      </c>
      <c r="D306" s="3">
        <v>330.0</v>
      </c>
    </row>
    <row r="307">
      <c r="A307" s="9">
        <v>46185.0</v>
      </c>
      <c r="B307" s="6" t="s">
        <v>491</v>
      </c>
      <c r="C307" s="6" t="s">
        <v>55</v>
      </c>
      <c r="D307" s="3">
        <v>127.0</v>
      </c>
    </row>
    <row r="308">
      <c r="A308" s="9">
        <v>46175.0</v>
      </c>
      <c r="B308" s="6" t="s">
        <v>492</v>
      </c>
      <c r="C308" s="6" t="s">
        <v>423</v>
      </c>
      <c r="D308" s="3">
        <v>200.0</v>
      </c>
    </row>
    <row r="309">
      <c r="A309" s="9">
        <v>46174.0</v>
      </c>
      <c r="B309" s="6" t="s">
        <v>493</v>
      </c>
      <c r="C309" s="6" t="s">
        <v>70</v>
      </c>
      <c r="D309" s="3">
        <v>145.0</v>
      </c>
    </row>
    <row r="310">
      <c r="A310" s="9">
        <v>46184.0</v>
      </c>
      <c r="B310" s="6" t="s">
        <v>494</v>
      </c>
      <c r="C310" s="6" t="s">
        <v>495</v>
      </c>
      <c r="D310" s="3">
        <v>105.0</v>
      </c>
    </row>
    <row r="311">
      <c r="A311" s="9">
        <v>46188.0</v>
      </c>
      <c r="B311" s="6" t="s">
        <v>496</v>
      </c>
      <c r="C311" s="6" t="s">
        <v>67</v>
      </c>
      <c r="D311" s="3">
        <v>95.0</v>
      </c>
    </row>
    <row r="312">
      <c r="A312" s="9">
        <v>46202.0</v>
      </c>
      <c r="B312" s="6" t="s">
        <v>497</v>
      </c>
      <c r="C312" s="6" t="s">
        <v>50</v>
      </c>
      <c r="D312" s="3">
        <v>165.0</v>
      </c>
    </row>
    <row r="313">
      <c r="A313" s="9">
        <v>46202.0</v>
      </c>
      <c r="B313" s="6" t="s">
        <v>498</v>
      </c>
      <c r="C313" s="6" t="s">
        <v>196</v>
      </c>
      <c r="D313" s="3">
        <v>300.0</v>
      </c>
    </row>
    <row r="314">
      <c r="A314" s="9">
        <v>46202.0</v>
      </c>
      <c r="B314" s="6" t="s">
        <v>499</v>
      </c>
      <c r="C314" s="6" t="s">
        <v>55</v>
      </c>
      <c r="D314" s="3">
        <v>500.0</v>
      </c>
    </row>
    <row r="315">
      <c r="A315" s="9">
        <v>46204.0</v>
      </c>
      <c r="B315" s="6" t="s">
        <v>501</v>
      </c>
      <c r="C315" s="6" t="s">
        <v>189</v>
      </c>
      <c r="D315" s="3">
        <v>330.0</v>
      </c>
    </row>
    <row r="316">
      <c r="A316" s="9">
        <v>46232.0</v>
      </c>
      <c r="B316" s="6" t="s">
        <v>502</v>
      </c>
      <c r="C316" s="6" t="s">
        <v>317</v>
      </c>
      <c r="D316" s="3">
        <v>300.0</v>
      </c>
    </row>
    <row r="317">
      <c r="A317" s="9">
        <v>46231.0</v>
      </c>
      <c r="B317" s="6" t="s">
        <v>503</v>
      </c>
      <c r="C317" s="6" t="s">
        <v>177</v>
      </c>
      <c r="D317" s="3">
        <v>360.0</v>
      </c>
    </row>
    <row r="318">
      <c r="A318" s="9">
        <v>46231.0</v>
      </c>
      <c r="B318" s="6" t="s">
        <v>504</v>
      </c>
      <c r="C318" s="6" t="s">
        <v>177</v>
      </c>
      <c r="D318" s="3">
        <v>180.0</v>
      </c>
    </row>
    <row r="319">
      <c r="A319" s="9">
        <v>46232.0</v>
      </c>
      <c r="B319" s="6" t="s">
        <v>505</v>
      </c>
      <c r="C319" s="6" t="s">
        <v>121</v>
      </c>
      <c r="D319" s="3">
        <v>150.0</v>
      </c>
    </row>
    <row r="320">
      <c r="A320" s="9">
        <v>46232.0</v>
      </c>
      <c r="B320" s="6" t="s">
        <v>506</v>
      </c>
      <c r="C320" s="6" t="s">
        <v>121</v>
      </c>
      <c r="D320" s="3">
        <v>150.0</v>
      </c>
    </row>
    <row r="321">
      <c r="A321" s="9">
        <v>46244.0</v>
      </c>
      <c r="B321" s="6" t="s">
        <v>507</v>
      </c>
      <c r="C321" s="6" t="s">
        <v>317</v>
      </c>
      <c r="D321" s="3">
        <v>300.0</v>
      </c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5"/>
    <col customWidth="1" min="3" max="3" width="29.5"/>
    <col customWidth="1" min="4" max="4" width="13.75"/>
    <col customWidth="1" min="5" max="5" width="9.38"/>
    <col customWidth="1" min="6" max="6" width="15.63"/>
    <col customWidth="1" min="7" max="7" width="13.63"/>
    <col customWidth="1" min="8" max="8" width="10.25"/>
  </cols>
  <sheetData>
    <row r="1">
      <c r="A1" s="73" t="s">
        <v>17</v>
      </c>
      <c r="B1" s="8" t="s">
        <v>3</v>
      </c>
      <c r="C1" s="8" t="s">
        <v>4</v>
      </c>
      <c r="D1" s="74" t="s">
        <v>5</v>
      </c>
      <c r="E1" s="8"/>
      <c r="F1" s="6" t="s">
        <v>27</v>
      </c>
      <c r="G1" s="2">
        <f>sum(D3:D10010)</f>
        <v>848210.56</v>
      </c>
      <c r="H1" s="8" t="s">
        <v>40</v>
      </c>
      <c r="I1" s="75">
        <f>sum(D22:D109)</f>
        <v>589709.4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76">
        <v>45414.0</v>
      </c>
      <c r="B2" s="6" t="s">
        <v>218</v>
      </c>
      <c r="C2" s="6" t="s">
        <v>233</v>
      </c>
      <c r="D2" s="3">
        <v>4500.0</v>
      </c>
    </row>
    <row r="3">
      <c r="A3" s="76">
        <v>45495.0</v>
      </c>
      <c r="B3" s="6" t="s">
        <v>234</v>
      </c>
      <c r="C3" s="6" t="s">
        <v>236</v>
      </c>
      <c r="D3" s="3">
        <v>20173.95</v>
      </c>
    </row>
    <row r="4">
      <c r="A4" s="76">
        <v>45516.0</v>
      </c>
      <c r="B4" s="3" t="s">
        <v>225</v>
      </c>
      <c r="C4" s="6" t="s">
        <v>238</v>
      </c>
      <c r="D4" s="3">
        <v>-93.0</v>
      </c>
    </row>
    <row r="5">
      <c r="A5" s="76">
        <v>45555.0</v>
      </c>
      <c r="B5" s="6" t="s">
        <v>234</v>
      </c>
      <c r="C5" s="6" t="s">
        <v>236</v>
      </c>
      <c r="D5" s="3">
        <v>2389.77</v>
      </c>
    </row>
    <row r="6">
      <c r="A6" s="76">
        <v>45586.0</v>
      </c>
      <c r="B6" s="6" t="s">
        <v>234</v>
      </c>
      <c r="C6" s="6" t="s">
        <v>236</v>
      </c>
      <c r="D6" s="3">
        <v>15140.26</v>
      </c>
    </row>
    <row r="7">
      <c r="A7" s="76">
        <v>45588.0</v>
      </c>
      <c r="B7" s="6" t="s">
        <v>243</v>
      </c>
      <c r="C7" s="6" t="s">
        <v>245</v>
      </c>
      <c r="D7" s="3">
        <v>180.0</v>
      </c>
    </row>
    <row r="8">
      <c r="A8" s="76">
        <v>45609.0</v>
      </c>
      <c r="B8" s="6" t="s">
        <v>247</v>
      </c>
      <c r="C8" s="6" t="s">
        <v>249</v>
      </c>
      <c r="D8" s="3">
        <v>88.6</v>
      </c>
    </row>
    <row r="9">
      <c r="A9" s="76">
        <v>45617.0</v>
      </c>
      <c r="B9" s="6" t="s">
        <v>234</v>
      </c>
      <c r="C9" s="6" t="s">
        <v>236</v>
      </c>
      <c r="D9" s="3">
        <v>34753.53</v>
      </c>
    </row>
    <row r="10">
      <c r="A10" s="76">
        <v>45608.0</v>
      </c>
      <c r="B10" s="6" t="s">
        <v>251</v>
      </c>
      <c r="C10" s="6" t="s">
        <v>252</v>
      </c>
      <c r="D10" s="3">
        <v>1250.0</v>
      </c>
    </row>
    <row r="11">
      <c r="A11" s="76">
        <v>45617.0</v>
      </c>
      <c r="B11" s="6" t="s">
        <v>254</v>
      </c>
      <c r="C11" s="6" t="s">
        <v>255</v>
      </c>
      <c r="D11" s="3">
        <v>350.0</v>
      </c>
    </row>
    <row r="12">
      <c r="A12" s="76">
        <v>45623.0</v>
      </c>
      <c r="B12" s="6" t="s">
        <v>258</v>
      </c>
      <c r="C12" s="6" t="s">
        <v>260</v>
      </c>
      <c r="D12" s="3">
        <v>1500.0</v>
      </c>
    </row>
    <row r="13">
      <c r="A13" s="76">
        <v>45622.0</v>
      </c>
      <c r="B13" s="6" t="s">
        <v>262</v>
      </c>
      <c r="C13" s="6" t="s">
        <v>263</v>
      </c>
      <c r="D13" s="3">
        <v>5760.0</v>
      </c>
    </row>
    <row r="14">
      <c r="A14" s="76">
        <v>45622.0</v>
      </c>
      <c r="B14" s="6" t="s">
        <v>266</v>
      </c>
      <c r="C14" s="6" t="s">
        <v>245</v>
      </c>
      <c r="D14" s="3">
        <v>160.0</v>
      </c>
    </row>
    <row r="15">
      <c r="A15" s="76">
        <v>45628.0</v>
      </c>
      <c r="B15" s="6" t="s">
        <v>268</v>
      </c>
      <c r="C15" s="6" t="s">
        <v>269</v>
      </c>
      <c r="D15" s="3">
        <v>1200.0</v>
      </c>
    </row>
    <row r="16">
      <c r="A16" s="76">
        <v>45628.0</v>
      </c>
      <c r="B16" s="6" t="s">
        <v>268</v>
      </c>
      <c r="C16" s="6" t="s">
        <v>269</v>
      </c>
      <c r="D16" s="3">
        <v>1200.0</v>
      </c>
    </row>
    <row r="17">
      <c r="A17" s="76">
        <v>45636.0</v>
      </c>
      <c r="B17" s="6" t="s">
        <v>274</v>
      </c>
      <c r="C17" s="6" t="s">
        <v>275</v>
      </c>
      <c r="D17" s="3">
        <v>300.0</v>
      </c>
    </row>
    <row r="18">
      <c r="A18" s="76">
        <v>45636.0</v>
      </c>
      <c r="B18" s="6" t="s">
        <v>274</v>
      </c>
      <c r="C18" s="6" t="s">
        <v>278</v>
      </c>
      <c r="D18" s="3">
        <v>300.0</v>
      </c>
    </row>
    <row r="19">
      <c r="A19" s="76">
        <v>45646.0</v>
      </c>
      <c r="B19" s="6" t="s">
        <v>234</v>
      </c>
      <c r="C19" s="6" t="s">
        <v>236</v>
      </c>
      <c r="D19" s="3">
        <v>6771.36</v>
      </c>
    </row>
    <row r="20">
      <c r="A20" s="76">
        <v>45646.0</v>
      </c>
      <c r="B20" s="6" t="s">
        <v>281</v>
      </c>
      <c r="C20" s="6" t="s">
        <v>245</v>
      </c>
      <c r="D20" s="3">
        <v>112.0</v>
      </c>
    </row>
    <row r="21">
      <c r="A21" s="76">
        <v>45653.0</v>
      </c>
      <c r="B21" s="6" t="s">
        <v>285</v>
      </c>
      <c r="C21" s="6" t="s">
        <v>286</v>
      </c>
      <c r="D21" s="3">
        <v>1000.0</v>
      </c>
    </row>
    <row r="22">
      <c r="A22" s="76">
        <v>45663.0</v>
      </c>
      <c r="B22" s="6" t="s">
        <v>289</v>
      </c>
      <c r="C22" s="6" t="s">
        <v>252</v>
      </c>
      <c r="D22" s="3">
        <v>500.0</v>
      </c>
      <c r="E22" s="6" t="s">
        <v>106</v>
      </c>
    </row>
    <row r="23">
      <c r="A23" s="76">
        <v>45663.0</v>
      </c>
      <c r="B23" s="6" t="s">
        <v>293</v>
      </c>
      <c r="C23" s="6" t="s">
        <v>59</v>
      </c>
      <c r="D23" s="3">
        <v>3000.0</v>
      </c>
      <c r="E23" s="6" t="s">
        <v>106</v>
      </c>
    </row>
    <row r="24">
      <c r="A24" s="76">
        <v>45670.0</v>
      </c>
      <c r="B24" s="6" t="s">
        <v>296</v>
      </c>
      <c r="C24" s="6" t="s">
        <v>269</v>
      </c>
      <c r="D24" s="3">
        <v>1500.0</v>
      </c>
      <c r="E24" s="6" t="s">
        <v>106</v>
      </c>
    </row>
    <row r="25">
      <c r="A25" s="76">
        <v>45678.0</v>
      </c>
      <c r="B25" s="6" t="s">
        <v>225</v>
      </c>
      <c r="C25" s="6" t="s">
        <v>299</v>
      </c>
      <c r="D25" s="3">
        <v>-214.83</v>
      </c>
      <c r="E25" s="6" t="s">
        <v>106</v>
      </c>
    </row>
    <row r="26">
      <c r="A26" s="76">
        <v>45678.0</v>
      </c>
      <c r="B26" s="6" t="s">
        <v>234</v>
      </c>
      <c r="C26" s="6" t="s">
        <v>236</v>
      </c>
      <c r="D26" s="3">
        <v>17094.91</v>
      </c>
      <c r="E26" s="6" t="s">
        <v>106</v>
      </c>
    </row>
    <row r="27">
      <c r="A27" s="76">
        <v>45684.0</v>
      </c>
      <c r="B27" s="6" t="s">
        <v>293</v>
      </c>
      <c r="C27" s="6" t="s">
        <v>59</v>
      </c>
      <c r="D27" s="3">
        <v>3000.0</v>
      </c>
      <c r="E27" s="6" t="s">
        <v>106</v>
      </c>
    </row>
    <row r="28">
      <c r="A28" s="76">
        <v>45688.0</v>
      </c>
      <c r="B28" s="6" t="s">
        <v>306</v>
      </c>
      <c r="C28" s="6" t="s">
        <v>307</v>
      </c>
      <c r="D28" s="3">
        <v>5100.0</v>
      </c>
      <c r="E28" s="6" t="s">
        <v>106</v>
      </c>
    </row>
    <row r="29">
      <c r="A29" s="77">
        <v>45691.0</v>
      </c>
      <c r="B29" s="6" t="s">
        <v>312</v>
      </c>
      <c r="C29" s="6" t="s">
        <v>252</v>
      </c>
      <c r="D29" s="3">
        <v>1500.0</v>
      </c>
      <c r="E29" s="6" t="s">
        <v>106</v>
      </c>
    </row>
    <row r="30">
      <c r="A30" s="76">
        <v>45692.0</v>
      </c>
      <c r="B30" s="6" t="s">
        <v>315</v>
      </c>
      <c r="C30" s="6" t="s">
        <v>59</v>
      </c>
      <c r="D30" s="3">
        <v>3000.0</v>
      </c>
      <c r="E30" s="6" t="s">
        <v>106</v>
      </c>
    </row>
    <row r="31">
      <c r="A31" s="76">
        <v>45693.0</v>
      </c>
      <c r="B31" s="6" t="s">
        <v>319</v>
      </c>
      <c r="C31" s="6" t="s">
        <v>320</v>
      </c>
      <c r="D31" s="3">
        <v>569.4</v>
      </c>
      <c r="E31" s="6" t="s">
        <v>106</v>
      </c>
    </row>
    <row r="32">
      <c r="A32" s="76">
        <v>45706.0</v>
      </c>
      <c r="B32" s="6" t="s">
        <v>218</v>
      </c>
      <c r="C32" s="6" t="s">
        <v>323</v>
      </c>
      <c r="D32" s="3">
        <v>8996.55</v>
      </c>
      <c r="E32" s="6" t="s">
        <v>106</v>
      </c>
    </row>
    <row r="33">
      <c r="A33" s="76">
        <v>45708.0</v>
      </c>
      <c r="B33" s="6" t="s">
        <v>234</v>
      </c>
      <c r="C33" s="6" t="s">
        <v>236</v>
      </c>
      <c r="D33" s="3">
        <v>17733.13</v>
      </c>
      <c r="E33" s="6" t="s">
        <v>106</v>
      </c>
    </row>
    <row r="34">
      <c r="A34" s="76">
        <v>45719.0</v>
      </c>
      <c r="B34" s="6" t="s">
        <v>328</v>
      </c>
      <c r="C34" s="6" t="s">
        <v>329</v>
      </c>
      <c r="D34" s="3">
        <v>850.0</v>
      </c>
      <c r="E34" s="6" t="s">
        <v>106</v>
      </c>
    </row>
    <row r="35">
      <c r="A35" s="76">
        <v>45721.0</v>
      </c>
      <c r="B35" s="6" t="s">
        <v>332</v>
      </c>
      <c r="C35" s="6" t="s">
        <v>245</v>
      </c>
      <c r="D35" s="3">
        <v>360.0</v>
      </c>
      <c r="E35" s="6" t="s">
        <v>106</v>
      </c>
    </row>
    <row r="36">
      <c r="A36" s="76">
        <v>45726.0</v>
      </c>
      <c r="B36" s="6" t="s">
        <v>338</v>
      </c>
      <c r="C36" s="6" t="s">
        <v>263</v>
      </c>
      <c r="D36" s="3">
        <v>6300.0</v>
      </c>
      <c r="E36" s="6" t="s">
        <v>106</v>
      </c>
    </row>
    <row r="37">
      <c r="A37" s="76">
        <v>45726.0</v>
      </c>
      <c r="B37" s="6" t="s">
        <v>228</v>
      </c>
      <c r="C37" s="6" t="s">
        <v>341</v>
      </c>
      <c r="D37" s="3">
        <v>5500.0</v>
      </c>
      <c r="E37" s="6" t="s">
        <v>106</v>
      </c>
    </row>
    <row r="38">
      <c r="A38" s="76">
        <v>45734.0</v>
      </c>
      <c r="B38" s="6" t="s">
        <v>344</v>
      </c>
      <c r="C38" s="6" t="s">
        <v>345</v>
      </c>
      <c r="D38" s="3">
        <v>5300.0</v>
      </c>
      <c r="E38" s="6" t="s">
        <v>106</v>
      </c>
    </row>
    <row r="39">
      <c r="A39" s="76">
        <v>45736.0</v>
      </c>
      <c r="B39" s="6" t="s">
        <v>234</v>
      </c>
      <c r="C39" s="6" t="s">
        <v>236</v>
      </c>
      <c r="D39" s="3">
        <v>16476.94</v>
      </c>
      <c r="E39" s="6" t="s">
        <v>106</v>
      </c>
    </row>
    <row r="40">
      <c r="A40" s="76">
        <v>45737.0</v>
      </c>
      <c r="B40" s="6" t="s">
        <v>234</v>
      </c>
      <c r="C40" s="6" t="s">
        <v>236</v>
      </c>
      <c r="D40" s="3">
        <v>920.84</v>
      </c>
      <c r="E40" s="6" t="s">
        <v>106</v>
      </c>
    </row>
    <row r="41">
      <c r="A41" s="76">
        <v>45740.0</v>
      </c>
      <c r="B41" s="6" t="s">
        <v>350</v>
      </c>
      <c r="C41" s="6" t="s">
        <v>352</v>
      </c>
      <c r="D41" s="3">
        <v>12500.0</v>
      </c>
      <c r="E41" s="6" t="s">
        <v>106</v>
      </c>
    </row>
    <row r="42">
      <c r="A42" s="76">
        <v>45750.0</v>
      </c>
      <c r="B42" s="6" t="s">
        <v>354</v>
      </c>
      <c r="C42" s="6" t="s">
        <v>345</v>
      </c>
      <c r="D42" s="3">
        <v>3060.0</v>
      </c>
      <c r="E42" s="6" t="s">
        <v>106</v>
      </c>
    </row>
    <row r="43">
      <c r="A43" s="76">
        <v>45757.0</v>
      </c>
      <c r="B43" s="6" t="s">
        <v>357</v>
      </c>
      <c r="C43" s="6" t="s">
        <v>275</v>
      </c>
      <c r="D43" s="3">
        <v>731.96</v>
      </c>
      <c r="E43" s="6" t="s">
        <v>106</v>
      </c>
    </row>
    <row r="44">
      <c r="A44" s="76">
        <v>45758.0</v>
      </c>
      <c r="B44" s="6" t="s">
        <v>359</v>
      </c>
      <c r="C44" s="6" t="s">
        <v>352</v>
      </c>
      <c r="D44" s="3">
        <v>15000.0</v>
      </c>
      <c r="E44" s="6" t="s">
        <v>106</v>
      </c>
    </row>
    <row r="45">
      <c r="A45" s="76">
        <v>45762.0</v>
      </c>
      <c r="B45" s="6" t="s">
        <v>234</v>
      </c>
      <c r="C45" s="6" t="s">
        <v>236</v>
      </c>
      <c r="D45" s="3">
        <v>37858.77</v>
      </c>
      <c r="E45" s="6" t="s">
        <v>106</v>
      </c>
    </row>
    <row r="46">
      <c r="A46" s="76">
        <v>45765.0</v>
      </c>
      <c r="B46" s="6" t="s">
        <v>364</v>
      </c>
      <c r="C46" s="6" t="s">
        <v>260</v>
      </c>
      <c r="D46" s="3">
        <v>3000.0</v>
      </c>
      <c r="E46" s="6" t="s">
        <v>106</v>
      </c>
    </row>
    <row r="47">
      <c r="A47" s="76">
        <v>45768.0</v>
      </c>
      <c r="B47" s="6" t="s">
        <v>368</v>
      </c>
      <c r="C47" s="6" t="s">
        <v>59</v>
      </c>
      <c r="D47" s="3">
        <v>6000.0</v>
      </c>
      <c r="E47" s="6" t="s">
        <v>106</v>
      </c>
    </row>
    <row r="48">
      <c r="A48" s="76">
        <v>45771.0</v>
      </c>
      <c r="B48" s="6" t="s">
        <v>370</v>
      </c>
      <c r="C48" s="6" t="s">
        <v>372</v>
      </c>
      <c r="D48" s="3">
        <v>10000.0</v>
      </c>
      <c r="E48" s="6" t="s">
        <v>106</v>
      </c>
    </row>
    <row r="49">
      <c r="A49" s="76">
        <v>45775.0</v>
      </c>
      <c r="B49" s="6" t="s">
        <v>374</v>
      </c>
      <c r="C49" s="6" t="s">
        <v>345</v>
      </c>
      <c r="D49" s="3">
        <v>3470.0</v>
      </c>
      <c r="E49" s="6" t="s">
        <v>106</v>
      </c>
    </row>
    <row r="50">
      <c r="A50" s="76">
        <v>45778.0</v>
      </c>
      <c r="B50" s="6" t="s">
        <v>377</v>
      </c>
      <c r="C50" s="6" t="s">
        <v>260</v>
      </c>
      <c r="D50" s="3">
        <v>5000.0</v>
      </c>
      <c r="E50" s="6" t="s">
        <v>106</v>
      </c>
    </row>
    <row r="51">
      <c r="A51" s="76">
        <v>45779.0</v>
      </c>
      <c r="B51" s="6" t="s">
        <v>380</v>
      </c>
      <c r="C51" s="6" t="s">
        <v>345</v>
      </c>
      <c r="D51" s="3">
        <v>1500.0</v>
      </c>
      <c r="E51" s="6" t="s">
        <v>106</v>
      </c>
    </row>
    <row r="52">
      <c r="A52" s="77">
        <v>45790.0</v>
      </c>
      <c r="B52" s="6" t="s">
        <v>383</v>
      </c>
      <c r="C52" s="6" t="s">
        <v>384</v>
      </c>
      <c r="D52" s="3">
        <v>4890.0</v>
      </c>
      <c r="E52" s="6" t="s">
        <v>106</v>
      </c>
    </row>
    <row r="53">
      <c r="A53" s="76">
        <v>45791.0</v>
      </c>
      <c r="B53" s="6" t="s">
        <v>387</v>
      </c>
      <c r="C53" s="6" t="s">
        <v>394</v>
      </c>
      <c r="D53" s="3">
        <v>10814.16</v>
      </c>
      <c r="E53" s="6" t="s">
        <v>106</v>
      </c>
    </row>
    <row r="54">
      <c r="A54" s="76">
        <v>45796.0</v>
      </c>
      <c r="B54" s="6" t="s">
        <v>397</v>
      </c>
      <c r="C54" s="6" t="s">
        <v>399</v>
      </c>
      <c r="D54" s="3">
        <v>9000.0</v>
      </c>
      <c r="E54" s="6" t="s">
        <v>106</v>
      </c>
    </row>
    <row r="55">
      <c r="A55" s="76">
        <v>45796.0</v>
      </c>
      <c r="B55" s="6" t="s">
        <v>198</v>
      </c>
      <c r="C55" s="6" t="s">
        <v>401</v>
      </c>
      <c r="D55" s="3">
        <v>480.0</v>
      </c>
      <c r="E55" s="6" t="s">
        <v>106</v>
      </c>
    </row>
    <row r="56">
      <c r="A56" s="76">
        <v>45796.0</v>
      </c>
      <c r="B56" s="6" t="s">
        <v>234</v>
      </c>
      <c r="C56" s="6" t="s">
        <v>236</v>
      </c>
      <c r="D56" s="3">
        <v>31211.35</v>
      </c>
      <c r="E56" s="6" t="s">
        <v>106</v>
      </c>
    </row>
    <row r="57">
      <c r="A57" s="76">
        <v>45797.0</v>
      </c>
      <c r="B57" s="6" t="s">
        <v>406</v>
      </c>
      <c r="C57" s="6" t="s">
        <v>352</v>
      </c>
      <c r="D57" s="3">
        <v>2250.0</v>
      </c>
      <c r="E57" s="6" t="s">
        <v>106</v>
      </c>
    </row>
    <row r="58">
      <c r="A58" s="76">
        <v>45805.0</v>
      </c>
      <c r="B58" s="6" t="s">
        <v>198</v>
      </c>
      <c r="C58" s="6" t="s">
        <v>409</v>
      </c>
      <c r="D58" s="3">
        <v>500.0</v>
      </c>
      <c r="E58" s="6" t="s">
        <v>106</v>
      </c>
    </row>
    <row r="59">
      <c r="A59" s="76">
        <v>45810.0</v>
      </c>
      <c r="B59" s="6" t="s">
        <v>412</v>
      </c>
      <c r="C59" s="6" t="s">
        <v>413</v>
      </c>
      <c r="D59" s="3">
        <v>2225.0</v>
      </c>
      <c r="E59" s="6" t="s">
        <v>106</v>
      </c>
    </row>
    <row r="60">
      <c r="A60" s="76">
        <v>45810.0</v>
      </c>
      <c r="B60" s="6" t="s">
        <v>416</v>
      </c>
      <c r="C60" s="6" t="s">
        <v>417</v>
      </c>
      <c r="D60" s="3">
        <v>200.0</v>
      </c>
      <c r="E60" s="6" t="s">
        <v>106</v>
      </c>
    </row>
    <row r="61">
      <c r="A61" s="76">
        <v>45814.0</v>
      </c>
      <c r="B61" s="6" t="s">
        <v>420</v>
      </c>
      <c r="C61" s="6" t="s">
        <v>341</v>
      </c>
      <c r="D61" s="3">
        <v>300.0</v>
      </c>
      <c r="E61" s="6" t="s">
        <v>106</v>
      </c>
    </row>
    <row r="62">
      <c r="A62" s="76">
        <v>45817.0</v>
      </c>
      <c r="B62" s="6" t="s">
        <v>424</v>
      </c>
      <c r="C62" s="6" t="s">
        <v>59</v>
      </c>
      <c r="D62" s="3">
        <v>3500.0</v>
      </c>
      <c r="E62" s="6" t="s">
        <v>106</v>
      </c>
    </row>
    <row r="63">
      <c r="A63" s="76">
        <v>45818.0</v>
      </c>
      <c r="B63" s="6" t="s">
        <v>427</v>
      </c>
      <c r="C63" s="6" t="s">
        <v>429</v>
      </c>
      <c r="D63" s="3">
        <v>18400.0</v>
      </c>
      <c r="E63" s="6" t="s">
        <v>106</v>
      </c>
    </row>
    <row r="64">
      <c r="A64" s="76">
        <v>45819.0</v>
      </c>
      <c r="B64" s="6" t="s">
        <v>431</v>
      </c>
      <c r="C64" s="6" t="s">
        <v>275</v>
      </c>
      <c r="D64" s="3">
        <v>350.0</v>
      </c>
      <c r="E64" s="6" t="s">
        <v>106</v>
      </c>
    </row>
    <row r="65">
      <c r="A65" s="76">
        <v>45824.0</v>
      </c>
      <c r="B65" s="6" t="s">
        <v>434</v>
      </c>
      <c r="C65" s="6" t="s">
        <v>189</v>
      </c>
      <c r="D65" s="3">
        <v>765.0</v>
      </c>
      <c r="E65" s="6" t="s">
        <v>106</v>
      </c>
    </row>
    <row r="66">
      <c r="A66" s="76">
        <v>45831.0</v>
      </c>
      <c r="B66" s="6" t="s">
        <v>234</v>
      </c>
      <c r="C66" s="6" t="s">
        <v>236</v>
      </c>
      <c r="D66" s="3">
        <v>36406.69</v>
      </c>
      <c r="E66" s="6" t="s">
        <v>106</v>
      </c>
    </row>
    <row r="67">
      <c r="A67" s="76">
        <v>45840.0</v>
      </c>
      <c r="B67" s="6" t="s">
        <v>439</v>
      </c>
      <c r="C67" s="6" t="s">
        <v>440</v>
      </c>
      <c r="D67" s="3">
        <v>1500.0</v>
      </c>
      <c r="E67" s="6" t="s">
        <v>106</v>
      </c>
    </row>
    <row r="68">
      <c r="A68" s="76">
        <v>45841.0</v>
      </c>
      <c r="B68" s="6" t="s">
        <v>443</v>
      </c>
      <c r="C68" s="6" t="s">
        <v>444</v>
      </c>
      <c r="D68" s="3">
        <v>300.0</v>
      </c>
      <c r="E68" s="6" t="s">
        <v>106</v>
      </c>
    </row>
    <row r="69">
      <c r="A69" s="78">
        <v>45848.0</v>
      </c>
      <c r="B69" s="79" t="s">
        <v>225</v>
      </c>
      <c r="C69" s="79" t="s">
        <v>450</v>
      </c>
      <c r="D69" s="80">
        <v>-3200.0</v>
      </c>
      <c r="E69" s="79" t="s">
        <v>106</v>
      </c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</row>
    <row r="70">
      <c r="A70" s="78">
        <v>45848.0</v>
      </c>
      <c r="B70" s="6" t="s">
        <v>198</v>
      </c>
      <c r="C70" s="82" t="s">
        <v>460</v>
      </c>
      <c r="D70" s="80">
        <v>1000.0</v>
      </c>
      <c r="E70" s="79" t="s">
        <v>106</v>
      </c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</row>
    <row r="71">
      <c r="A71" s="76">
        <v>45854.0</v>
      </c>
      <c r="B71" s="6" t="s">
        <v>467</v>
      </c>
      <c r="C71" s="6" t="s">
        <v>468</v>
      </c>
      <c r="D71" s="3">
        <v>2270.0</v>
      </c>
      <c r="E71" s="6" t="s">
        <v>106</v>
      </c>
    </row>
    <row r="72">
      <c r="A72" s="76">
        <v>45859.0</v>
      </c>
      <c r="B72" s="6" t="s">
        <v>234</v>
      </c>
      <c r="C72" s="6" t="s">
        <v>236</v>
      </c>
      <c r="D72" s="3">
        <v>9927.47</v>
      </c>
      <c r="E72" s="6" t="s">
        <v>106</v>
      </c>
    </row>
    <row r="73">
      <c r="A73" s="78">
        <v>45860.0</v>
      </c>
      <c r="B73" s="79" t="s">
        <v>198</v>
      </c>
      <c r="C73" s="81" t="s">
        <v>473</v>
      </c>
      <c r="D73" s="80">
        <v>2000.0</v>
      </c>
      <c r="E73" s="79" t="s">
        <v>106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</row>
    <row r="74">
      <c r="A74" s="76">
        <v>45862.0</v>
      </c>
      <c r="B74" s="6" t="s">
        <v>479</v>
      </c>
      <c r="C74" s="6" t="s">
        <v>269</v>
      </c>
      <c r="D74" s="3">
        <v>1050.0</v>
      </c>
      <c r="E74" s="6" t="s">
        <v>106</v>
      </c>
    </row>
    <row r="75">
      <c r="A75" s="76">
        <v>45863.0</v>
      </c>
      <c r="B75" s="6" t="s">
        <v>483</v>
      </c>
      <c r="C75" s="6" t="s">
        <v>352</v>
      </c>
      <c r="D75" s="3">
        <v>3000.0</v>
      </c>
      <c r="E75" s="6" t="s">
        <v>106</v>
      </c>
    </row>
    <row r="76">
      <c r="A76" s="76">
        <v>45866.0</v>
      </c>
      <c r="B76" s="6" t="s">
        <v>486</v>
      </c>
      <c r="C76" s="6" t="s">
        <v>352</v>
      </c>
      <c r="D76" s="3">
        <v>1500.0</v>
      </c>
      <c r="E76" s="6" t="s">
        <v>106</v>
      </c>
    </row>
    <row r="77">
      <c r="A77" s="78">
        <v>45866.0</v>
      </c>
      <c r="B77" s="6" t="s">
        <v>198</v>
      </c>
      <c r="C77" s="82" t="s">
        <v>473</v>
      </c>
      <c r="D77" s="80">
        <v>3200.0</v>
      </c>
      <c r="E77" s="79" t="s">
        <v>106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76">
        <v>45867.0</v>
      </c>
      <c r="B78" s="6" t="s">
        <v>198</v>
      </c>
      <c r="C78" s="6" t="s">
        <v>59</v>
      </c>
      <c r="D78" s="3">
        <v>1700.0</v>
      </c>
      <c r="E78" s="6" t="s">
        <v>106</v>
      </c>
    </row>
    <row r="79">
      <c r="A79" s="76">
        <v>45877.0</v>
      </c>
      <c r="B79" s="83" t="s">
        <v>500</v>
      </c>
      <c r="C79" s="6" t="s">
        <v>399</v>
      </c>
      <c r="D79" s="84">
        <v>8000.0</v>
      </c>
      <c r="E79" s="6" t="s">
        <v>106</v>
      </c>
      <c r="F79" s="80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</row>
    <row r="80">
      <c r="A80" s="76">
        <v>45890.0</v>
      </c>
      <c r="B80" s="83" t="s">
        <v>234</v>
      </c>
      <c r="C80" s="6" t="s">
        <v>236</v>
      </c>
      <c r="D80" s="84">
        <v>12500.53</v>
      </c>
      <c r="E80" s="6" t="s">
        <v>106</v>
      </c>
      <c r="F80" s="80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</row>
    <row r="81">
      <c r="A81" s="76">
        <v>45898.0</v>
      </c>
      <c r="B81" s="6" t="s">
        <v>508</v>
      </c>
      <c r="C81" s="6" t="s">
        <v>394</v>
      </c>
      <c r="D81" s="3">
        <v>130.63</v>
      </c>
      <c r="E81" s="6" t="s">
        <v>106</v>
      </c>
    </row>
    <row r="82">
      <c r="A82" s="76">
        <v>45902.0</v>
      </c>
      <c r="B82" s="6" t="s">
        <v>508</v>
      </c>
      <c r="C82" s="6" t="s">
        <v>394</v>
      </c>
      <c r="D82" s="3">
        <v>130.63</v>
      </c>
      <c r="E82" s="6" t="s">
        <v>106</v>
      </c>
    </row>
    <row r="83">
      <c r="A83" s="76">
        <v>45902.0</v>
      </c>
      <c r="B83" s="6" t="s">
        <v>225</v>
      </c>
      <c r="C83" s="6" t="s">
        <v>226</v>
      </c>
      <c r="D83" s="3">
        <v>-130.63</v>
      </c>
      <c r="E83" s="6" t="s">
        <v>106</v>
      </c>
    </row>
    <row r="84">
      <c r="A84" s="76">
        <v>45903.0</v>
      </c>
      <c r="B84" s="6" t="s">
        <v>509</v>
      </c>
      <c r="C84" s="6" t="s">
        <v>260</v>
      </c>
      <c r="D84" s="3">
        <v>5000.0</v>
      </c>
      <c r="E84" s="6" t="s">
        <v>106</v>
      </c>
    </row>
    <row r="85">
      <c r="A85" s="76">
        <v>45915.0</v>
      </c>
      <c r="B85" s="6" t="s">
        <v>510</v>
      </c>
      <c r="C85" s="6" t="s">
        <v>511</v>
      </c>
      <c r="D85" s="3">
        <v>13000.0</v>
      </c>
      <c r="E85" s="6" t="s">
        <v>106</v>
      </c>
    </row>
    <row r="86">
      <c r="A86" s="76">
        <v>45918.0</v>
      </c>
      <c r="B86" s="6" t="s">
        <v>512</v>
      </c>
      <c r="C86" s="6" t="s">
        <v>511</v>
      </c>
      <c r="D86" s="3">
        <v>2200.0</v>
      </c>
      <c r="E86" s="6" t="s">
        <v>106</v>
      </c>
    </row>
    <row r="87">
      <c r="A87" s="76">
        <v>45919.0</v>
      </c>
      <c r="B87" s="6" t="s">
        <v>225</v>
      </c>
      <c r="C87" s="6" t="s">
        <v>226</v>
      </c>
      <c r="D87" s="3">
        <v>-2200.0</v>
      </c>
      <c r="E87" s="6" t="s">
        <v>106</v>
      </c>
    </row>
    <row r="88">
      <c r="A88" s="76">
        <v>45926.0</v>
      </c>
      <c r="B88" s="6" t="s">
        <v>513</v>
      </c>
      <c r="C88" s="6" t="s">
        <v>260</v>
      </c>
      <c r="D88" s="3">
        <v>7000.0</v>
      </c>
      <c r="E88" s="6" t="s">
        <v>106</v>
      </c>
    </row>
    <row r="89">
      <c r="A89" s="76">
        <v>45929.0</v>
      </c>
      <c r="B89" s="6" t="s">
        <v>514</v>
      </c>
      <c r="C89" s="6" t="s">
        <v>511</v>
      </c>
      <c r="D89" s="3">
        <v>6535.0</v>
      </c>
      <c r="E89" s="6" t="s">
        <v>106</v>
      </c>
    </row>
    <row r="90">
      <c r="A90" s="76">
        <v>45929.0</v>
      </c>
      <c r="B90" s="6" t="s">
        <v>515</v>
      </c>
      <c r="C90" s="6" t="s">
        <v>352</v>
      </c>
      <c r="D90" s="3">
        <v>2250.0</v>
      </c>
      <c r="E90" s="6" t="s">
        <v>106</v>
      </c>
    </row>
    <row r="91">
      <c r="A91" s="76">
        <v>45936.0</v>
      </c>
      <c r="B91" s="6" t="s">
        <v>516</v>
      </c>
      <c r="C91" s="6" t="s">
        <v>517</v>
      </c>
      <c r="D91" s="3">
        <v>1000.0</v>
      </c>
      <c r="E91" s="6" t="s">
        <v>106</v>
      </c>
    </row>
    <row r="92">
      <c r="A92" s="76">
        <v>45938.0</v>
      </c>
      <c r="B92" s="6" t="s">
        <v>228</v>
      </c>
      <c r="C92" s="6" t="s">
        <v>236</v>
      </c>
      <c r="D92" s="3">
        <v>25526.34</v>
      </c>
      <c r="E92" s="6" t="s">
        <v>106</v>
      </c>
    </row>
    <row r="93">
      <c r="A93" s="76">
        <v>45947.0</v>
      </c>
      <c r="B93" s="6" t="s">
        <v>518</v>
      </c>
      <c r="C93" s="6" t="s">
        <v>519</v>
      </c>
      <c r="D93" s="3">
        <v>4000.0</v>
      </c>
      <c r="E93" s="6" t="s">
        <v>106</v>
      </c>
    </row>
    <row r="94">
      <c r="A94" s="76">
        <v>45951.0</v>
      </c>
      <c r="B94" s="6" t="s">
        <v>228</v>
      </c>
      <c r="C94" s="6" t="s">
        <v>236</v>
      </c>
      <c r="D94" s="3">
        <v>26169.39</v>
      </c>
      <c r="E94" s="6" t="s">
        <v>106</v>
      </c>
    </row>
    <row r="95">
      <c r="A95" s="76">
        <v>45957.0</v>
      </c>
      <c r="B95" s="6" t="s">
        <v>198</v>
      </c>
      <c r="C95" s="6" t="s">
        <v>409</v>
      </c>
      <c r="D95" s="3">
        <v>500.0</v>
      </c>
      <c r="E95" s="6" t="s">
        <v>106</v>
      </c>
    </row>
    <row r="96">
      <c r="A96" s="76">
        <v>45957.0</v>
      </c>
      <c r="B96" s="6" t="s">
        <v>520</v>
      </c>
      <c r="C96" s="6" t="s">
        <v>260</v>
      </c>
      <c r="D96" s="3">
        <v>2000.0</v>
      </c>
      <c r="E96" s="6" t="s">
        <v>106</v>
      </c>
    </row>
    <row r="97">
      <c r="A97" s="76">
        <v>45957.0</v>
      </c>
      <c r="B97" s="6" t="s">
        <v>198</v>
      </c>
      <c r="C97" s="6" t="s">
        <v>521</v>
      </c>
      <c r="D97" s="3">
        <v>350.0</v>
      </c>
      <c r="E97" s="6" t="s">
        <v>106</v>
      </c>
    </row>
    <row r="98">
      <c r="A98" s="76">
        <v>45960.0</v>
      </c>
      <c r="B98" s="6" t="s">
        <v>522</v>
      </c>
      <c r="C98" s="6" t="s">
        <v>517</v>
      </c>
      <c r="D98" s="3">
        <v>2000.0</v>
      </c>
      <c r="E98" s="6" t="s">
        <v>106</v>
      </c>
    </row>
    <row r="99">
      <c r="A99" s="76">
        <v>45964.0</v>
      </c>
      <c r="B99" s="6" t="s">
        <v>523</v>
      </c>
      <c r="C99" s="6" t="s">
        <v>524</v>
      </c>
      <c r="D99" s="3">
        <v>900.0</v>
      </c>
      <c r="E99" s="6" t="s">
        <v>106</v>
      </c>
    </row>
    <row r="100">
      <c r="A100" s="76">
        <v>45974.0</v>
      </c>
      <c r="B100" s="6" t="s">
        <v>525</v>
      </c>
      <c r="C100" s="6" t="s">
        <v>526</v>
      </c>
      <c r="D100" s="3">
        <v>5000.0</v>
      </c>
      <c r="E100" s="6" t="s">
        <v>106</v>
      </c>
    </row>
    <row r="101">
      <c r="A101" s="76">
        <v>45979.0</v>
      </c>
      <c r="B101" s="6" t="s">
        <v>527</v>
      </c>
      <c r="C101" s="6" t="s">
        <v>526</v>
      </c>
      <c r="D101" s="3">
        <v>6000.0</v>
      </c>
      <c r="E101" s="6" t="s">
        <v>106</v>
      </c>
    </row>
    <row r="102">
      <c r="A102" s="76">
        <v>45980.0</v>
      </c>
      <c r="B102" s="6" t="s">
        <v>528</v>
      </c>
      <c r="C102" s="6" t="s">
        <v>352</v>
      </c>
      <c r="D102" s="3">
        <v>3750.0</v>
      </c>
      <c r="E102" s="6" t="s">
        <v>106</v>
      </c>
    </row>
    <row r="103">
      <c r="A103" s="76">
        <v>45981.0</v>
      </c>
      <c r="B103" s="6" t="s">
        <v>234</v>
      </c>
      <c r="C103" s="6" t="s">
        <v>236</v>
      </c>
      <c r="D103" s="3">
        <v>19601.85</v>
      </c>
      <c r="E103" s="6" t="s">
        <v>106</v>
      </c>
    </row>
    <row r="104">
      <c r="A104" s="76">
        <v>45981.0</v>
      </c>
      <c r="B104" s="6" t="s">
        <v>529</v>
      </c>
      <c r="C104" s="6" t="s">
        <v>372</v>
      </c>
      <c r="D104" s="3">
        <v>15000.0</v>
      </c>
      <c r="E104" s="6" t="s">
        <v>106</v>
      </c>
    </row>
    <row r="105">
      <c r="A105" s="76">
        <v>45985.0</v>
      </c>
      <c r="B105" s="6" t="s">
        <v>530</v>
      </c>
      <c r="C105" s="6" t="s">
        <v>531</v>
      </c>
      <c r="D105" s="3">
        <v>3500.0</v>
      </c>
      <c r="E105" s="6" t="s">
        <v>106</v>
      </c>
    </row>
    <row r="106">
      <c r="A106" s="76">
        <v>45987.0</v>
      </c>
      <c r="B106" s="6" t="s">
        <v>225</v>
      </c>
      <c r="C106" s="6" t="s">
        <v>226</v>
      </c>
      <c r="D106" s="3">
        <v>-6000.0</v>
      </c>
      <c r="E106" s="6" t="s">
        <v>106</v>
      </c>
    </row>
    <row r="107">
      <c r="A107" s="76">
        <v>45992.0</v>
      </c>
      <c r="B107" s="6" t="s">
        <v>532</v>
      </c>
      <c r="C107" s="6" t="s">
        <v>533</v>
      </c>
      <c r="D107" s="3">
        <v>6000.0</v>
      </c>
      <c r="E107" s="6" t="s">
        <v>106</v>
      </c>
    </row>
    <row r="108">
      <c r="A108" s="76">
        <v>46013.0</v>
      </c>
      <c r="B108" s="6" t="s">
        <v>234</v>
      </c>
      <c r="C108" s="6" t="s">
        <v>236</v>
      </c>
      <c r="D108" s="3">
        <v>78598.32</v>
      </c>
      <c r="E108" s="6" t="s">
        <v>106</v>
      </c>
    </row>
    <row r="109">
      <c r="A109" s="76">
        <v>46020.0</v>
      </c>
      <c r="B109" s="6" t="s">
        <v>534</v>
      </c>
      <c r="C109" s="6" t="s">
        <v>341</v>
      </c>
      <c r="D109" s="3">
        <v>250.0</v>
      </c>
      <c r="E109" s="6" t="s">
        <v>106</v>
      </c>
    </row>
    <row r="110">
      <c r="A110" s="65">
        <v>46021.0</v>
      </c>
      <c r="B110" s="6" t="s">
        <v>535</v>
      </c>
      <c r="C110" s="6" t="s">
        <v>536</v>
      </c>
      <c r="D110" s="6">
        <v>732.0</v>
      </c>
    </row>
    <row r="111">
      <c r="A111" s="76">
        <v>46022.0</v>
      </c>
      <c r="B111" s="6" t="s">
        <v>225</v>
      </c>
      <c r="C111" s="6" t="s">
        <v>226</v>
      </c>
      <c r="D111" s="3">
        <v>-732.0</v>
      </c>
    </row>
    <row r="112">
      <c r="A112" s="76">
        <v>46043.0</v>
      </c>
      <c r="B112" s="6" t="s">
        <v>234</v>
      </c>
      <c r="C112" s="6" t="s">
        <v>236</v>
      </c>
      <c r="D112" s="3">
        <v>11729.44</v>
      </c>
    </row>
    <row r="113">
      <c r="A113" s="76">
        <v>46034.0</v>
      </c>
      <c r="B113" s="6" t="s">
        <v>537</v>
      </c>
      <c r="C113" s="6" t="s">
        <v>538</v>
      </c>
      <c r="D113" s="3">
        <v>12210.0</v>
      </c>
    </row>
    <row r="114">
      <c r="A114" s="76">
        <v>46031.0</v>
      </c>
      <c r="B114" s="6" t="s">
        <v>539</v>
      </c>
      <c r="C114" s="6" t="s">
        <v>341</v>
      </c>
      <c r="D114" s="3">
        <v>700.0</v>
      </c>
    </row>
    <row r="115">
      <c r="A115" s="76">
        <v>46035.0</v>
      </c>
      <c r="B115" s="6" t="s">
        <v>540</v>
      </c>
      <c r="C115" s="6" t="s">
        <v>541</v>
      </c>
      <c r="D115" s="3">
        <v>2190.0</v>
      </c>
    </row>
    <row r="116">
      <c r="A116" s="76">
        <v>46045.0</v>
      </c>
      <c r="B116" s="6" t="s">
        <v>542</v>
      </c>
      <c r="C116" s="6" t="s">
        <v>341</v>
      </c>
      <c r="D116" s="3">
        <v>750.0</v>
      </c>
    </row>
    <row r="117">
      <c r="A117" s="76">
        <v>46056.0</v>
      </c>
      <c r="B117" s="6" t="s">
        <v>543</v>
      </c>
      <c r="C117" s="6" t="s">
        <v>341</v>
      </c>
      <c r="D117" s="3">
        <v>3000.0</v>
      </c>
    </row>
    <row r="118">
      <c r="A118" s="76">
        <v>46056.0</v>
      </c>
      <c r="B118" s="6" t="s">
        <v>544</v>
      </c>
      <c r="C118" s="6" t="s">
        <v>341</v>
      </c>
      <c r="D118" s="3">
        <v>750.0</v>
      </c>
    </row>
    <row r="119">
      <c r="A119" s="76">
        <v>46062.0</v>
      </c>
      <c r="B119" s="6" t="s">
        <v>545</v>
      </c>
      <c r="C119" s="6" t="s">
        <v>341</v>
      </c>
      <c r="D119" s="3">
        <v>1250.0</v>
      </c>
    </row>
    <row r="120">
      <c r="A120" s="76">
        <v>46076.0</v>
      </c>
      <c r="B120" s="6" t="s">
        <v>546</v>
      </c>
      <c r="C120" s="6" t="s">
        <v>547</v>
      </c>
      <c r="D120" s="3">
        <v>1900.0</v>
      </c>
    </row>
    <row r="121">
      <c r="A121" s="76">
        <v>46106.0</v>
      </c>
      <c r="B121" s="6" t="s">
        <v>228</v>
      </c>
      <c r="C121" s="6" t="s">
        <v>548</v>
      </c>
      <c r="D121" s="3">
        <v>12675.17</v>
      </c>
    </row>
    <row r="122">
      <c r="A122" s="76">
        <v>46085.0</v>
      </c>
      <c r="B122" s="6" t="s">
        <v>228</v>
      </c>
      <c r="C122" s="6" t="s">
        <v>236</v>
      </c>
      <c r="D122" s="3">
        <v>15014.56</v>
      </c>
    </row>
    <row r="123">
      <c r="A123" s="76">
        <v>46090.0</v>
      </c>
      <c r="B123" s="6" t="s">
        <v>549</v>
      </c>
      <c r="C123" s="6" t="s">
        <v>189</v>
      </c>
      <c r="D123" s="3">
        <v>573.0</v>
      </c>
    </row>
    <row r="124">
      <c r="A124" s="76">
        <v>46090.0</v>
      </c>
      <c r="B124" s="6" t="s">
        <v>550</v>
      </c>
      <c r="C124" s="6" t="s">
        <v>189</v>
      </c>
      <c r="D124" s="3">
        <v>350.0</v>
      </c>
    </row>
    <row r="125">
      <c r="A125" s="76">
        <v>46104.0</v>
      </c>
      <c r="B125" s="6" t="s">
        <v>551</v>
      </c>
      <c r="C125" s="6" t="s">
        <v>552</v>
      </c>
      <c r="D125" s="3">
        <v>4000.0</v>
      </c>
    </row>
    <row r="126">
      <c r="A126" s="76">
        <v>46133.0</v>
      </c>
      <c r="B126" s="6" t="s">
        <v>234</v>
      </c>
      <c r="C126" s="6" t="s">
        <v>236</v>
      </c>
      <c r="D126" s="3">
        <v>19113.77</v>
      </c>
    </row>
    <row r="127">
      <c r="A127" s="76">
        <v>46119.0</v>
      </c>
      <c r="B127" s="6" t="s">
        <v>553</v>
      </c>
      <c r="C127" s="6" t="s">
        <v>552</v>
      </c>
      <c r="D127" s="3">
        <v>2000.0</v>
      </c>
    </row>
    <row r="128">
      <c r="A128" s="76">
        <v>46121.0</v>
      </c>
      <c r="B128" s="6" t="s">
        <v>554</v>
      </c>
      <c r="C128" s="6" t="s">
        <v>341</v>
      </c>
      <c r="D128" s="3">
        <v>500.0</v>
      </c>
    </row>
    <row r="129">
      <c r="A129" s="8" t="s">
        <v>555</v>
      </c>
      <c r="B129" s="6" t="s">
        <v>556</v>
      </c>
      <c r="C129" s="6" t="s">
        <v>372</v>
      </c>
      <c r="D129" s="3">
        <v>5000.0</v>
      </c>
    </row>
    <row r="130">
      <c r="A130" s="76">
        <v>46125.0</v>
      </c>
      <c r="B130" s="6" t="s">
        <v>557</v>
      </c>
      <c r="C130" s="6" t="s">
        <v>558</v>
      </c>
      <c r="D130" s="3">
        <v>5000.0</v>
      </c>
    </row>
    <row r="131">
      <c r="A131" s="76">
        <v>46129.0</v>
      </c>
      <c r="B131" s="6" t="s">
        <v>559</v>
      </c>
      <c r="C131" s="6" t="s">
        <v>260</v>
      </c>
      <c r="D131" s="3">
        <v>3000.0</v>
      </c>
    </row>
    <row r="132">
      <c r="A132" s="76">
        <v>46132.0</v>
      </c>
      <c r="B132" s="6" t="s">
        <v>560</v>
      </c>
      <c r="C132" s="6" t="s">
        <v>341</v>
      </c>
      <c r="D132" s="3">
        <v>500.0</v>
      </c>
    </row>
    <row r="133">
      <c r="A133" s="9">
        <v>46135.0</v>
      </c>
      <c r="B133" s="6" t="s">
        <v>561</v>
      </c>
      <c r="C133" s="6" t="s">
        <v>55</v>
      </c>
      <c r="D133" s="3">
        <v>2200.0</v>
      </c>
    </row>
    <row r="134">
      <c r="A134" s="76">
        <v>46139.0</v>
      </c>
      <c r="B134" s="6" t="s">
        <v>562</v>
      </c>
      <c r="C134" s="6" t="s">
        <v>563</v>
      </c>
      <c r="D134" s="3">
        <v>2000.0</v>
      </c>
    </row>
    <row r="135">
      <c r="A135" s="76">
        <v>46139.0</v>
      </c>
      <c r="B135" s="6" t="s">
        <v>564</v>
      </c>
      <c r="C135" s="6" t="s">
        <v>341</v>
      </c>
      <c r="D135" s="3">
        <v>400.0</v>
      </c>
    </row>
    <row r="136">
      <c r="A136" s="76">
        <v>46146.0</v>
      </c>
      <c r="B136" s="6" t="s">
        <v>198</v>
      </c>
      <c r="C136" s="6" t="s">
        <v>521</v>
      </c>
      <c r="D136" s="3">
        <v>250.0</v>
      </c>
    </row>
    <row r="137">
      <c r="A137" s="76">
        <v>46150.0</v>
      </c>
      <c r="B137" s="6" t="s">
        <v>218</v>
      </c>
      <c r="C137" s="6" t="s">
        <v>233</v>
      </c>
      <c r="D137" s="3">
        <v>4000.0</v>
      </c>
    </row>
    <row r="138">
      <c r="A138" s="76">
        <v>46153.0</v>
      </c>
      <c r="B138" s="6" t="s">
        <v>198</v>
      </c>
      <c r="C138" s="6" t="s">
        <v>565</v>
      </c>
      <c r="D138" s="3">
        <v>2000.0</v>
      </c>
    </row>
    <row r="139">
      <c r="A139" s="76">
        <v>46157.0</v>
      </c>
      <c r="B139" s="6" t="s">
        <v>234</v>
      </c>
      <c r="C139" s="6" t="s">
        <v>236</v>
      </c>
      <c r="D139" s="3">
        <v>14668.18</v>
      </c>
    </row>
    <row r="140">
      <c r="A140" s="76">
        <v>46143.0</v>
      </c>
      <c r="B140" s="6" t="s">
        <v>566</v>
      </c>
      <c r="C140" s="6" t="s">
        <v>440</v>
      </c>
      <c r="D140" s="3">
        <v>2000.0</v>
      </c>
    </row>
    <row r="141">
      <c r="A141" s="76">
        <v>46147.0</v>
      </c>
      <c r="B141" s="6" t="s">
        <v>567</v>
      </c>
      <c r="C141" s="6" t="s">
        <v>341</v>
      </c>
      <c r="D141" s="3">
        <v>400.0</v>
      </c>
    </row>
    <row r="142">
      <c r="A142" s="76">
        <v>46148.0</v>
      </c>
      <c r="B142" s="6" t="s">
        <v>568</v>
      </c>
      <c r="C142" s="6" t="s">
        <v>260</v>
      </c>
      <c r="D142" s="3">
        <v>1500.0</v>
      </c>
    </row>
    <row r="143">
      <c r="A143" s="76">
        <v>46195.0</v>
      </c>
      <c r="B143" s="6" t="s">
        <v>234</v>
      </c>
      <c r="C143" s="6" t="s">
        <v>236</v>
      </c>
      <c r="D143" s="3">
        <v>3704.29</v>
      </c>
    </row>
    <row r="144">
      <c r="A144" s="76">
        <v>46174.0</v>
      </c>
      <c r="B144" s="6" t="s">
        <v>569</v>
      </c>
      <c r="C144" s="6" t="s">
        <v>59</v>
      </c>
      <c r="D144" s="3">
        <v>3650.0</v>
      </c>
    </row>
    <row r="145">
      <c r="A145" s="76">
        <v>46223.0</v>
      </c>
      <c r="B145" s="6" t="s">
        <v>234</v>
      </c>
      <c r="C145" s="6" t="s">
        <v>236</v>
      </c>
      <c r="D145" s="3">
        <v>2315.6</v>
      </c>
    </row>
    <row r="146">
      <c r="A146" s="76">
        <v>46211.0</v>
      </c>
      <c r="B146" s="6" t="s">
        <v>570</v>
      </c>
      <c r="C146" s="6" t="s">
        <v>440</v>
      </c>
      <c r="D146" s="3">
        <v>1750.0</v>
      </c>
    </row>
    <row r="147">
      <c r="A147" s="76">
        <v>46216.0</v>
      </c>
      <c r="B147" s="6" t="s">
        <v>571</v>
      </c>
      <c r="C147" s="6" t="s">
        <v>399</v>
      </c>
      <c r="D147" s="3">
        <v>6723.3</v>
      </c>
    </row>
    <row r="148">
      <c r="A148" s="76">
        <v>46213.0</v>
      </c>
      <c r="B148" s="6" t="s">
        <v>572</v>
      </c>
      <c r="C148" s="6" t="s">
        <v>341</v>
      </c>
      <c r="D148" s="3">
        <v>1570.0</v>
      </c>
    </row>
    <row r="149">
      <c r="A149" s="76">
        <v>46234.0</v>
      </c>
      <c r="B149" s="6" t="s">
        <v>573</v>
      </c>
      <c r="C149" s="6" t="s">
        <v>341</v>
      </c>
      <c r="D149" s="3">
        <v>2000.0</v>
      </c>
    </row>
    <row r="150">
      <c r="A150" s="76">
        <v>46254.0</v>
      </c>
      <c r="B150" s="6" t="s">
        <v>234</v>
      </c>
      <c r="C150" s="6" t="s">
        <v>236</v>
      </c>
      <c r="D150" s="3">
        <v>11127.38</v>
      </c>
    </row>
    <row r="151">
      <c r="A151" s="76">
        <v>46258.0</v>
      </c>
      <c r="B151" s="6" t="s">
        <v>574</v>
      </c>
      <c r="C151" s="6" t="s">
        <v>563</v>
      </c>
      <c r="D151" s="3">
        <v>1500.0</v>
      </c>
    </row>
    <row r="152">
      <c r="A152" s="85"/>
      <c r="D152" s="2"/>
    </row>
    <row r="153">
      <c r="A153" s="85"/>
      <c r="D153" s="2"/>
    </row>
    <row r="154">
      <c r="A154" s="85"/>
      <c r="D154" s="2"/>
    </row>
    <row r="155">
      <c r="A155" s="85"/>
      <c r="D155" s="2"/>
    </row>
    <row r="156">
      <c r="A156" s="85"/>
      <c r="D156" s="2"/>
    </row>
    <row r="157">
      <c r="A157" s="85"/>
      <c r="D157" s="2"/>
    </row>
    <row r="158">
      <c r="A158" s="85"/>
      <c r="D158" s="2"/>
    </row>
    <row r="159">
      <c r="A159" s="85"/>
      <c r="D159" s="2"/>
    </row>
    <row r="160">
      <c r="A160" s="85"/>
      <c r="D160" s="2"/>
    </row>
    <row r="161">
      <c r="A161" s="85"/>
      <c r="D161" s="2"/>
    </row>
    <row r="162">
      <c r="A162" s="85"/>
      <c r="D162" s="2"/>
    </row>
    <row r="163">
      <c r="A163" s="85"/>
      <c r="D163" s="2"/>
    </row>
    <row r="164">
      <c r="A164" s="85"/>
      <c r="D164" s="2"/>
    </row>
    <row r="165">
      <c r="A165" s="85"/>
      <c r="D165" s="2"/>
    </row>
    <row r="166">
      <c r="A166" s="85"/>
      <c r="D166" s="2"/>
    </row>
    <row r="167">
      <c r="A167" s="85"/>
      <c r="D167" s="2"/>
    </row>
    <row r="168">
      <c r="A168" s="85"/>
      <c r="D168" s="2"/>
    </row>
    <row r="169">
      <c r="A169" s="85"/>
      <c r="D169" s="2"/>
    </row>
    <row r="170">
      <c r="A170" s="85"/>
      <c r="D170" s="2"/>
    </row>
    <row r="171">
      <c r="A171" s="85"/>
      <c r="D171" s="2"/>
    </row>
    <row r="172">
      <c r="A172" s="85"/>
      <c r="D172" s="2"/>
    </row>
    <row r="173">
      <c r="A173" s="85"/>
      <c r="D173" s="2"/>
    </row>
    <row r="174">
      <c r="A174" s="85"/>
      <c r="D174" s="2"/>
    </row>
    <row r="175">
      <c r="A175" s="85"/>
      <c r="D175" s="2"/>
    </row>
    <row r="176">
      <c r="A176" s="85"/>
      <c r="D176" s="2"/>
    </row>
    <row r="177">
      <c r="A177" s="85"/>
      <c r="D177" s="2"/>
    </row>
    <row r="178">
      <c r="A178" s="85"/>
      <c r="D178" s="2"/>
    </row>
    <row r="179">
      <c r="A179" s="85"/>
      <c r="D179" s="2"/>
    </row>
    <row r="180">
      <c r="A180" s="85"/>
      <c r="D180" s="2"/>
    </row>
    <row r="181">
      <c r="A181" s="85"/>
      <c r="D181" s="2"/>
    </row>
    <row r="182">
      <c r="A182" s="85"/>
      <c r="D182" s="2"/>
    </row>
    <row r="183">
      <c r="A183" s="85"/>
      <c r="D183" s="2"/>
    </row>
    <row r="184">
      <c r="A184" s="85"/>
      <c r="D184" s="2"/>
    </row>
    <row r="185">
      <c r="A185" s="85"/>
      <c r="D185" s="2"/>
    </row>
    <row r="186">
      <c r="A186" s="85"/>
      <c r="D186" s="2"/>
    </row>
    <row r="187">
      <c r="A187" s="85"/>
      <c r="D187" s="2"/>
    </row>
    <row r="188">
      <c r="A188" s="85"/>
      <c r="D188" s="2"/>
    </row>
    <row r="189">
      <c r="A189" s="85"/>
      <c r="D189" s="2"/>
    </row>
    <row r="190">
      <c r="A190" s="85"/>
      <c r="D190" s="2"/>
    </row>
    <row r="191">
      <c r="A191" s="85"/>
      <c r="D191" s="2"/>
    </row>
    <row r="192">
      <c r="A192" s="85"/>
      <c r="D192" s="2"/>
    </row>
    <row r="193">
      <c r="A193" s="85"/>
      <c r="D193" s="2"/>
    </row>
    <row r="194">
      <c r="A194" s="85"/>
      <c r="D194" s="2"/>
    </row>
    <row r="195">
      <c r="A195" s="85"/>
      <c r="D195" s="2"/>
    </row>
    <row r="196">
      <c r="A196" s="85"/>
      <c r="D196" s="2"/>
    </row>
    <row r="197">
      <c r="A197" s="85"/>
      <c r="D197" s="2"/>
    </row>
    <row r="198">
      <c r="A198" s="85"/>
      <c r="D198" s="2"/>
    </row>
    <row r="199">
      <c r="A199" s="85"/>
      <c r="D199" s="2"/>
    </row>
    <row r="200">
      <c r="A200" s="85"/>
      <c r="D200" s="2"/>
    </row>
    <row r="201">
      <c r="A201" s="85"/>
      <c r="D201" s="2"/>
    </row>
    <row r="202">
      <c r="A202" s="85"/>
      <c r="D202" s="2"/>
    </row>
    <row r="203">
      <c r="A203" s="85"/>
      <c r="D203" s="2"/>
    </row>
    <row r="204">
      <c r="A204" s="85"/>
      <c r="D204" s="2"/>
    </row>
    <row r="205">
      <c r="A205" s="85"/>
      <c r="D205" s="2"/>
    </row>
    <row r="206">
      <c r="A206" s="85"/>
      <c r="D206" s="2"/>
    </row>
    <row r="207">
      <c r="A207" s="85"/>
      <c r="D207" s="2"/>
    </row>
    <row r="208">
      <c r="A208" s="85"/>
      <c r="D208" s="2"/>
    </row>
    <row r="209">
      <c r="A209" s="85"/>
      <c r="D209" s="2"/>
    </row>
    <row r="210">
      <c r="A210" s="85"/>
      <c r="D210" s="2"/>
    </row>
    <row r="211">
      <c r="A211" s="85"/>
      <c r="D211" s="2"/>
    </row>
    <row r="212">
      <c r="A212" s="85"/>
      <c r="D212" s="2"/>
    </row>
    <row r="213">
      <c r="A213" s="85"/>
      <c r="D213" s="2"/>
    </row>
    <row r="214">
      <c r="A214" s="85"/>
      <c r="D214" s="2"/>
    </row>
    <row r="215">
      <c r="A215" s="85"/>
      <c r="D215" s="2"/>
    </row>
    <row r="216">
      <c r="A216" s="85"/>
      <c r="D216" s="2"/>
    </row>
    <row r="217">
      <c r="A217" s="85"/>
      <c r="D217" s="2"/>
    </row>
    <row r="218">
      <c r="A218" s="85"/>
      <c r="D218" s="2"/>
    </row>
    <row r="219">
      <c r="A219" s="85"/>
      <c r="D219" s="2"/>
    </row>
    <row r="220">
      <c r="A220" s="85"/>
      <c r="D220" s="2"/>
    </row>
    <row r="221">
      <c r="A221" s="85"/>
      <c r="D221" s="2"/>
    </row>
    <row r="222">
      <c r="A222" s="85"/>
      <c r="D222" s="2"/>
    </row>
    <row r="223">
      <c r="A223" s="85"/>
      <c r="D223" s="2"/>
    </row>
    <row r="224">
      <c r="A224" s="85"/>
      <c r="D224" s="2"/>
    </row>
    <row r="225">
      <c r="A225" s="85"/>
      <c r="D225" s="2"/>
    </row>
    <row r="226">
      <c r="A226" s="85"/>
      <c r="D226" s="2"/>
    </row>
    <row r="227">
      <c r="A227" s="85"/>
      <c r="D227" s="2"/>
    </row>
    <row r="228">
      <c r="A228" s="85"/>
      <c r="D228" s="2"/>
    </row>
    <row r="229">
      <c r="A229" s="85"/>
      <c r="D229" s="2"/>
    </row>
    <row r="230">
      <c r="A230" s="85"/>
      <c r="D230" s="2"/>
    </row>
    <row r="231">
      <c r="A231" s="85"/>
      <c r="D231" s="2"/>
    </row>
    <row r="232">
      <c r="A232" s="85"/>
      <c r="D232" s="2"/>
    </row>
    <row r="233">
      <c r="A233" s="85"/>
      <c r="D233" s="2"/>
    </row>
    <row r="234">
      <c r="A234" s="85"/>
      <c r="D234" s="2"/>
    </row>
    <row r="235">
      <c r="A235" s="85"/>
      <c r="D235" s="2"/>
    </row>
    <row r="236">
      <c r="A236" s="85"/>
      <c r="D236" s="2"/>
    </row>
    <row r="237">
      <c r="A237" s="85"/>
      <c r="D237" s="2"/>
    </row>
    <row r="238">
      <c r="A238" s="85"/>
      <c r="D238" s="2"/>
    </row>
    <row r="239">
      <c r="A239" s="85"/>
      <c r="D239" s="2"/>
    </row>
    <row r="240">
      <c r="A240" s="85"/>
      <c r="D240" s="2"/>
    </row>
    <row r="241">
      <c r="A241" s="85"/>
      <c r="D241" s="2"/>
    </row>
    <row r="242">
      <c r="A242" s="85"/>
      <c r="D242" s="2"/>
    </row>
    <row r="243">
      <c r="A243" s="85"/>
      <c r="D243" s="2"/>
    </row>
    <row r="244">
      <c r="A244" s="85"/>
      <c r="D244" s="2"/>
    </row>
    <row r="245">
      <c r="A245" s="85"/>
      <c r="D245" s="2"/>
    </row>
    <row r="246">
      <c r="A246" s="85"/>
      <c r="D246" s="2"/>
    </row>
    <row r="247">
      <c r="A247" s="85"/>
      <c r="D247" s="2"/>
    </row>
    <row r="248">
      <c r="A248" s="85"/>
      <c r="D248" s="2"/>
    </row>
    <row r="249">
      <c r="A249" s="85"/>
      <c r="D249" s="2"/>
    </row>
    <row r="250">
      <c r="A250" s="85"/>
      <c r="D250" s="2"/>
    </row>
    <row r="251">
      <c r="A251" s="85"/>
      <c r="D251" s="2"/>
    </row>
    <row r="252">
      <c r="A252" s="85"/>
      <c r="D252" s="2"/>
    </row>
    <row r="253">
      <c r="A253" s="85"/>
      <c r="D253" s="2"/>
    </row>
    <row r="254">
      <c r="A254" s="85"/>
      <c r="D254" s="2"/>
    </row>
    <row r="255">
      <c r="A255" s="85"/>
      <c r="D255" s="2"/>
    </row>
    <row r="256">
      <c r="A256" s="85"/>
      <c r="D256" s="2"/>
    </row>
    <row r="257">
      <c r="A257" s="85"/>
      <c r="D257" s="2"/>
    </row>
    <row r="258">
      <c r="A258" s="85"/>
      <c r="D258" s="2"/>
    </row>
    <row r="259">
      <c r="A259" s="85"/>
      <c r="D259" s="2"/>
    </row>
    <row r="260">
      <c r="A260" s="85"/>
      <c r="D260" s="2"/>
    </row>
    <row r="261">
      <c r="A261" s="85"/>
      <c r="D261" s="2"/>
    </row>
    <row r="262">
      <c r="A262" s="85"/>
      <c r="D262" s="2"/>
    </row>
    <row r="263">
      <c r="A263" s="85"/>
      <c r="D263" s="2"/>
    </row>
    <row r="264">
      <c r="A264" s="85"/>
      <c r="D264" s="2"/>
    </row>
    <row r="265">
      <c r="A265" s="85"/>
      <c r="D265" s="2"/>
    </row>
    <row r="266">
      <c r="A266" s="85"/>
      <c r="D266" s="2"/>
    </row>
    <row r="267">
      <c r="A267" s="85"/>
      <c r="D267" s="2"/>
    </row>
    <row r="268">
      <c r="A268" s="85"/>
      <c r="D268" s="2"/>
    </row>
    <row r="269">
      <c r="A269" s="85"/>
      <c r="D269" s="2"/>
    </row>
    <row r="270">
      <c r="A270" s="85"/>
      <c r="D270" s="2"/>
    </row>
    <row r="271">
      <c r="A271" s="85"/>
      <c r="D271" s="2"/>
    </row>
    <row r="272">
      <c r="A272" s="85"/>
      <c r="D272" s="2"/>
    </row>
    <row r="273">
      <c r="A273" s="85"/>
      <c r="D273" s="2"/>
    </row>
    <row r="274">
      <c r="A274" s="85"/>
      <c r="D274" s="2"/>
    </row>
    <row r="275">
      <c r="A275" s="85"/>
      <c r="D275" s="2"/>
    </row>
    <row r="276">
      <c r="A276" s="85"/>
      <c r="D276" s="2"/>
    </row>
    <row r="277">
      <c r="A277" s="85"/>
      <c r="D277" s="2"/>
    </row>
    <row r="278">
      <c r="A278" s="85"/>
      <c r="D278" s="2"/>
    </row>
    <row r="279">
      <c r="A279" s="85"/>
      <c r="D279" s="2"/>
    </row>
    <row r="280">
      <c r="A280" s="85"/>
      <c r="D280" s="2"/>
    </row>
    <row r="281">
      <c r="A281" s="85"/>
      <c r="D281" s="2"/>
    </row>
    <row r="282">
      <c r="A282" s="85"/>
      <c r="D282" s="2"/>
    </row>
    <row r="283">
      <c r="A283" s="85"/>
      <c r="D283" s="2"/>
    </row>
    <row r="284">
      <c r="A284" s="85"/>
      <c r="D284" s="2"/>
    </row>
    <row r="285">
      <c r="A285" s="85"/>
      <c r="D285" s="2"/>
    </row>
    <row r="286">
      <c r="A286" s="85"/>
      <c r="D286" s="2"/>
    </row>
    <row r="287">
      <c r="A287" s="85"/>
      <c r="D287" s="2"/>
    </row>
    <row r="288">
      <c r="A288" s="85"/>
      <c r="D288" s="2"/>
    </row>
    <row r="289">
      <c r="A289" s="85"/>
      <c r="D289" s="2"/>
    </row>
    <row r="290">
      <c r="A290" s="85"/>
      <c r="D290" s="2"/>
    </row>
    <row r="291">
      <c r="A291" s="85"/>
      <c r="D291" s="2"/>
    </row>
    <row r="292">
      <c r="A292" s="85"/>
      <c r="D292" s="2"/>
    </row>
    <row r="293">
      <c r="A293" s="85"/>
      <c r="D293" s="2"/>
    </row>
    <row r="294">
      <c r="A294" s="85"/>
      <c r="D294" s="2"/>
    </row>
    <row r="295">
      <c r="A295" s="85"/>
      <c r="D295" s="2"/>
    </row>
    <row r="296">
      <c r="A296" s="85"/>
      <c r="D296" s="2"/>
    </row>
    <row r="297">
      <c r="A297" s="85"/>
      <c r="D297" s="2"/>
    </row>
    <row r="298">
      <c r="A298" s="85"/>
      <c r="D298" s="2"/>
    </row>
    <row r="299">
      <c r="A299" s="85"/>
      <c r="D299" s="2"/>
    </row>
    <row r="300">
      <c r="A300" s="85"/>
      <c r="D300" s="2"/>
    </row>
    <row r="301">
      <c r="A301" s="85"/>
      <c r="D301" s="2"/>
    </row>
    <row r="302">
      <c r="A302" s="85"/>
      <c r="D302" s="2"/>
    </row>
    <row r="303">
      <c r="A303" s="85"/>
      <c r="D303" s="2"/>
    </row>
    <row r="304">
      <c r="A304" s="85"/>
      <c r="D304" s="2"/>
    </row>
    <row r="305">
      <c r="A305" s="85"/>
      <c r="D305" s="2"/>
    </row>
    <row r="306">
      <c r="A306" s="85"/>
      <c r="D306" s="2"/>
    </row>
    <row r="307">
      <c r="A307" s="85"/>
      <c r="D307" s="2"/>
    </row>
    <row r="308">
      <c r="A308" s="85"/>
      <c r="D308" s="2"/>
    </row>
    <row r="309">
      <c r="A309" s="85"/>
      <c r="D309" s="2"/>
    </row>
    <row r="310">
      <c r="A310" s="85"/>
      <c r="D310" s="2"/>
    </row>
    <row r="311">
      <c r="A311" s="85"/>
      <c r="D311" s="2"/>
    </row>
    <row r="312">
      <c r="A312" s="85"/>
      <c r="D312" s="2"/>
    </row>
    <row r="313">
      <c r="A313" s="85"/>
      <c r="D313" s="2"/>
    </row>
    <row r="314">
      <c r="A314" s="85"/>
      <c r="D314" s="2"/>
    </row>
    <row r="315">
      <c r="A315" s="85"/>
      <c r="D315" s="2"/>
    </row>
    <row r="316">
      <c r="A316" s="85"/>
      <c r="D316" s="2"/>
    </row>
    <row r="317">
      <c r="A317" s="85"/>
      <c r="D317" s="2"/>
    </row>
    <row r="318">
      <c r="A318" s="85"/>
      <c r="D318" s="2"/>
    </row>
    <row r="319">
      <c r="A319" s="85"/>
      <c r="D319" s="2"/>
    </row>
    <row r="320">
      <c r="A320" s="85"/>
      <c r="D320" s="2"/>
    </row>
    <row r="321">
      <c r="A321" s="85"/>
      <c r="D321" s="2"/>
    </row>
    <row r="322">
      <c r="A322" s="85"/>
      <c r="D322" s="2"/>
    </row>
    <row r="323">
      <c r="A323" s="85"/>
      <c r="D323" s="2"/>
    </row>
    <row r="324">
      <c r="A324" s="85"/>
      <c r="D324" s="2"/>
    </row>
    <row r="325">
      <c r="A325" s="85"/>
      <c r="D325" s="2"/>
    </row>
    <row r="326">
      <c r="A326" s="85"/>
      <c r="D326" s="2"/>
    </row>
    <row r="327">
      <c r="A327" s="85"/>
      <c r="D327" s="2"/>
    </row>
    <row r="328">
      <c r="A328" s="85"/>
      <c r="D328" s="2"/>
    </row>
    <row r="329">
      <c r="A329" s="85"/>
      <c r="D329" s="2"/>
    </row>
    <row r="330">
      <c r="A330" s="85"/>
      <c r="D330" s="2"/>
    </row>
    <row r="331">
      <c r="A331" s="85"/>
      <c r="D331" s="2"/>
    </row>
    <row r="332">
      <c r="A332" s="85"/>
      <c r="D332" s="2"/>
    </row>
    <row r="333">
      <c r="A333" s="85"/>
      <c r="D333" s="2"/>
    </row>
    <row r="334">
      <c r="A334" s="85"/>
      <c r="D334" s="2"/>
    </row>
    <row r="335">
      <c r="A335" s="85"/>
      <c r="D335" s="2"/>
    </row>
    <row r="336">
      <c r="A336" s="85"/>
      <c r="D336" s="2"/>
    </row>
    <row r="337">
      <c r="A337" s="85"/>
      <c r="D337" s="2"/>
    </row>
    <row r="338">
      <c r="A338" s="85"/>
      <c r="D338" s="2"/>
    </row>
    <row r="339">
      <c r="A339" s="85"/>
      <c r="D339" s="2"/>
    </row>
    <row r="340">
      <c r="A340" s="85"/>
      <c r="D340" s="2"/>
    </row>
    <row r="341">
      <c r="A341" s="85"/>
      <c r="D341" s="2"/>
    </row>
    <row r="342">
      <c r="A342" s="85"/>
      <c r="D342" s="2"/>
    </row>
    <row r="343">
      <c r="A343" s="85"/>
      <c r="D343" s="2"/>
    </row>
    <row r="344">
      <c r="A344" s="85"/>
      <c r="D344" s="2"/>
    </row>
    <row r="345">
      <c r="A345" s="85"/>
      <c r="D345" s="2"/>
    </row>
    <row r="346">
      <c r="A346" s="85"/>
      <c r="D346" s="2"/>
    </row>
    <row r="347">
      <c r="A347" s="85"/>
      <c r="D347" s="2"/>
    </row>
    <row r="348">
      <c r="A348" s="85"/>
      <c r="D348" s="2"/>
    </row>
    <row r="349">
      <c r="A349" s="85"/>
      <c r="D349" s="2"/>
    </row>
    <row r="350">
      <c r="A350" s="85"/>
      <c r="D350" s="2"/>
    </row>
    <row r="351">
      <c r="A351" s="85"/>
      <c r="D351" s="2"/>
    </row>
    <row r="352">
      <c r="A352" s="85"/>
      <c r="D352" s="2"/>
    </row>
    <row r="353">
      <c r="A353" s="85"/>
      <c r="D353" s="2"/>
    </row>
    <row r="354">
      <c r="A354" s="85"/>
      <c r="D354" s="2"/>
    </row>
    <row r="355">
      <c r="A355" s="85"/>
      <c r="D355" s="2"/>
    </row>
    <row r="356">
      <c r="A356" s="85"/>
      <c r="D356" s="2"/>
    </row>
    <row r="357">
      <c r="A357" s="85"/>
      <c r="D357" s="2"/>
    </row>
    <row r="358">
      <c r="A358" s="85"/>
      <c r="D358" s="2"/>
    </row>
    <row r="359">
      <c r="A359" s="85"/>
      <c r="D359" s="2"/>
    </row>
    <row r="360">
      <c r="A360" s="85"/>
      <c r="D360" s="2"/>
    </row>
    <row r="361">
      <c r="A361" s="85"/>
      <c r="D361" s="2"/>
    </row>
    <row r="362">
      <c r="A362" s="85"/>
      <c r="D362" s="2"/>
    </row>
    <row r="363">
      <c r="A363" s="85"/>
      <c r="D363" s="2"/>
    </row>
    <row r="364">
      <c r="A364" s="85"/>
      <c r="D364" s="2"/>
    </row>
    <row r="365">
      <c r="A365" s="85"/>
      <c r="D365" s="2"/>
    </row>
    <row r="366">
      <c r="A366" s="85"/>
      <c r="D366" s="2"/>
    </row>
    <row r="367">
      <c r="A367" s="85"/>
      <c r="D367" s="2"/>
    </row>
    <row r="368">
      <c r="A368" s="85"/>
      <c r="D368" s="2"/>
    </row>
    <row r="369">
      <c r="A369" s="85"/>
      <c r="D369" s="2"/>
    </row>
    <row r="370">
      <c r="A370" s="85"/>
      <c r="D370" s="2"/>
    </row>
    <row r="371">
      <c r="A371" s="85"/>
      <c r="D371" s="2"/>
    </row>
    <row r="372">
      <c r="A372" s="85"/>
      <c r="D372" s="2"/>
    </row>
    <row r="373">
      <c r="A373" s="85"/>
      <c r="D373" s="2"/>
    </row>
    <row r="374">
      <c r="A374" s="85"/>
      <c r="D374" s="2"/>
    </row>
    <row r="375">
      <c r="A375" s="85"/>
      <c r="D375" s="2"/>
    </row>
    <row r="376">
      <c r="A376" s="85"/>
      <c r="D376" s="2"/>
    </row>
    <row r="377">
      <c r="A377" s="85"/>
      <c r="D377" s="2"/>
    </row>
    <row r="378">
      <c r="A378" s="85"/>
      <c r="D378" s="2"/>
    </row>
    <row r="379">
      <c r="A379" s="85"/>
      <c r="D379" s="2"/>
    </row>
    <row r="380">
      <c r="A380" s="85"/>
      <c r="D380" s="2"/>
    </row>
    <row r="381">
      <c r="A381" s="85"/>
      <c r="D381" s="2"/>
    </row>
    <row r="382">
      <c r="A382" s="85"/>
      <c r="D382" s="2"/>
    </row>
    <row r="383">
      <c r="A383" s="85"/>
      <c r="D383" s="2"/>
    </row>
    <row r="384">
      <c r="A384" s="85"/>
      <c r="D384" s="2"/>
    </row>
    <row r="385">
      <c r="A385" s="85"/>
      <c r="D385" s="2"/>
    </row>
    <row r="386">
      <c r="A386" s="85"/>
      <c r="D386" s="2"/>
    </row>
    <row r="387">
      <c r="A387" s="85"/>
      <c r="D387" s="2"/>
    </row>
    <row r="388">
      <c r="A388" s="85"/>
      <c r="D388" s="2"/>
    </row>
    <row r="389">
      <c r="A389" s="85"/>
      <c r="D389" s="2"/>
    </row>
    <row r="390">
      <c r="A390" s="85"/>
      <c r="D390" s="2"/>
    </row>
    <row r="391">
      <c r="A391" s="85"/>
      <c r="D391" s="2"/>
    </row>
    <row r="392">
      <c r="A392" s="85"/>
      <c r="D392" s="2"/>
    </row>
    <row r="393">
      <c r="A393" s="85"/>
      <c r="D393" s="2"/>
    </row>
    <row r="394">
      <c r="A394" s="85"/>
      <c r="D394" s="2"/>
    </row>
    <row r="395">
      <c r="A395" s="85"/>
      <c r="D395" s="2"/>
    </row>
    <row r="396">
      <c r="A396" s="85"/>
      <c r="D396" s="2"/>
    </row>
    <row r="397">
      <c r="A397" s="85"/>
      <c r="D397" s="2"/>
    </row>
    <row r="398">
      <c r="A398" s="85"/>
      <c r="D398" s="2"/>
    </row>
    <row r="399">
      <c r="A399" s="85"/>
      <c r="D399" s="2"/>
    </row>
    <row r="400">
      <c r="A400" s="85"/>
      <c r="D400" s="2"/>
    </row>
    <row r="401">
      <c r="A401" s="85"/>
      <c r="D401" s="2"/>
    </row>
    <row r="402">
      <c r="A402" s="85"/>
      <c r="D402" s="2"/>
    </row>
    <row r="403">
      <c r="A403" s="85"/>
      <c r="D403" s="2"/>
    </row>
    <row r="404">
      <c r="A404" s="85"/>
      <c r="D404" s="2"/>
    </row>
    <row r="405">
      <c r="A405" s="85"/>
      <c r="D405" s="2"/>
    </row>
    <row r="406">
      <c r="A406" s="85"/>
      <c r="D406" s="2"/>
    </row>
    <row r="407">
      <c r="A407" s="85"/>
      <c r="D407" s="2"/>
    </row>
    <row r="408">
      <c r="A408" s="85"/>
      <c r="D408" s="2"/>
    </row>
    <row r="409">
      <c r="A409" s="85"/>
      <c r="D409" s="2"/>
    </row>
    <row r="410">
      <c r="A410" s="85"/>
      <c r="D410" s="2"/>
    </row>
    <row r="411">
      <c r="A411" s="85"/>
      <c r="D411" s="2"/>
    </row>
    <row r="412">
      <c r="A412" s="85"/>
      <c r="D412" s="2"/>
    </row>
    <row r="413">
      <c r="A413" s="85"/>
      <c r="D413" s="2"/>
    </row>
    <row r="414">
      <c r="A414" s="85"/>
      <c r="D414" s="2"/>
    </row>
    <row r="415">
      <c r="A415" s="85"/>
      <c r="D415" s="2"/>
    </row>
    <row r="416">
      <c r="A416" s="85"/>
      <c r="D416" s="2"/>
    </row>
    <row r="417">
      <c r="A417" s="85"/>
      <c r="D417" s="2"/>
    </row>
    <row r="418">
      <c r="A418" s="85"/>
      <c r="D418" s="2"/>
    </row>
    <row r="419">
      <c r="A419" s="85"/>
      <c r="D419" s="2"/>
    </row>
    <row r="420">
      <c r="A420" s="85"/>
      <c r="D420" s="2"/>
    </row>
    <row r="421">
      <c r="A421" s="85"/>
      <c r="D421" s="2"/>
    </row>
    <row r="422">
      <c r="A422" s="85"/>
      <c r="D422" s="2"/>
    </row>
    <row r="423">
      <c r="A423" s="85"/>
      <c r="D423" s="2"/>
    </row>
    <row r="424">
      <c r="A424" s="85"/>
      <c r="D424" s="2"/>
    </row>
    <row r="425">
      <c r="A425" s="85"/>
      <c r="D425" s="2"/>
    </row>
    <row r="426">
      <c r="A426" s="85"/>
      <c r="D426" s="2"/>
    </row>
    <row r="427">
      <c r="A427" s="85"/>
      <c r="D427" s="2"/>
    </row>
    <row r="428">
      <c r="A428" s="85"/>
      <c r="D428" s="2"/>
    </row>
    <row r="429">
      <c r="A429" s="85"/>
      <c r="D429" s="2"/>
    </row>
    <row r="430">
      <c r="A430" s="85"/>
      <c r="D430" s="2"/>
    </row>
    <row r="431">
      <c r="A431" s="85"/>
      <c r="D431" s="2"/>
    </row>
    <row r="432">
      <c r="A432" s="85"/>
      <c r="D432" s="2"/>
    </row>
    <row r="433">
      <c r="A433" s="85"/>
      <c r="D433" s="2"/>
    </row>
    <row r="434">
      <c r="A434" s="85"/>
      <c r="D434" s="2"/>
    </row>
    <row r="435">
      <c r="A435" s="85"/>
      <c r="D435" s="2"/>
    </row>
    <row r="436">
      <c r="A436" s="85"/>
      <c r="D436" s="2"/>
    </row>
    <row r="437">
      <c r="A437" s="85"/>
      <c r="D437" s="2"/>
    </row>
    <row r="438">
      <c r="A438" s="85"/>
      <c r="D438" s="2"/>
    </row>
    <row r="439">
      <c r="A439" s="85"/>
      <c r="D439" s="2"/>
    </row>
    <row r="440">
      <c r="A440" s="85"/>
      <c r="D440" s="2"/>
    </row>
    <row r="441">
      <c r="A441" s="85"/>
      <c r="D441" s="2"/>
    </row>
    <row r="442">
      <c r="A442" s="85"/>
      <c r="D442" s="2"/>
    </row>
    <row r="443">
      <c r="A443" s="85"/>
      <c r="D443" s="2"/>
    </row>
    <row r="444">
      <c r="A444" s="85"/>
      <c r="D444" s="2"/>
    </row>
    <row r="445">
      <c r="A445" s="85"/>
      <c r="D445" s="2"/>
    </row>
    <row r="446">
      <c r="A446" s="85"/>
      <c r="D446" s="2"/>
    </row>
    <row r="447">
      <c r="A447" s="85"/>
      <c r="D447" s="2"/>
    </row>
    <row r="448">
      <c r="A448" s="85"/>
      <c r="D448" s="2"/>
    </row>
    <row r="449">
      <c r="A449" s="85"/>
      <c r="D449" s="2"/>
    </row>
    <row r="450">
      <c r="A450" s="85"/>
      <c r="D450" s="2"/>
    </row>
    <row r="451">
      <c r="A451" s="85"/>
      <c r="D451" s="2"/>
    </row>
    <row r="452">
      <c r="A452" s="85"/>
      <c r="D452" s="2"/>
    </row>
    <row r="453">
      <c r="A453" s="85"/>
      <c r="D453" s="2"/>
    </row>
    <row r="454">
      <c r="A454" s="85"/>
      <c r="D454" s="2"/>
    </row>
    <row r="455">
      <c r="A455" s="85"/>
      <c r="D455" s="2"/>
    </row>
    <row r="456">
      <c r="A456" s="85"/>
      <c r="D456" s="2"/>
    </row>
    <row r="457">
      <c r="A457" s="85"/>
      <c r="D457" s="2"/>
    </row>
    <row r="458">
      <c r="A458" s="85"/>
      <c r="D458" s="2"/>
    </row>
    <row r="459">
      <c r="A459" s="85"/>
      <c r="D459" s="2"/>
    </row>
    <row r="460">
      <c r="A460" s="85"/>
      <c r="D460" s="2"/>
    </row>
    <row r="461">
      <c r="A461" s="85"/>
      <c r="D461" s="2"/>
    </row>
    <row r="462">
      <c r="A462" s="85"/>
      <c r="D462" s="2"/>
    </row>
    <row r="463">
      <c r="A463" s="85"/>
      <c r="D463" s="2"/>
    </row>
    <row r="464">
      <c r="A464" s="85"/>
      <c r="D464" s="2"/>
    </row>
    <row r="465">
      <c r="A465" s="85"/>
      <c r="D465" s="2"/>
    </row>
    <row r="466">
      <c r="A466" s="85"/>
      <c r="D466" s="2"/>
    </row>
    <row r="467">
      <c r="A467" s="85"/>
      <c r="D467" s="2"/>
    </row>
    <row r="468">
      <c r="A468" s="85"/>
      <c r="D468" s="2"/>
    </row>
    <row r="469">
      <c r="A469" s="85"/>
      <c r="D469" s="2"/>
    </row>
    <row r="470">
      <c r="A470" s="85"/>
      <c r="D470" s="2"/>
    </row>
    <row r="471">
      <c r="A471" s="85"/>
      <c r="D471" s="2"/>
    </row>
    <row r="472">
      <c r="A472" s="85"/>
      <c r="D472" s="2"/>
    </row>
    <row r="473">
      <c r="A473" s="85"/>
      <c r="D473" s="2"/>
    </row>
    <row r="474">
      <c r="A474" s="85"/>
      <c r="D474" s="2"/>
    </row>
    <row r="475">
      <c r="A475" s="85"/>
      <c r="D475" s="2"/>
    </row>
    <row r="476">
      <c r="A476" s="85"/>
      <c r="D476" s="2"/>
    </row>
    <row r="477">
      <c r="A477" s="85"/>
      <c r="D477" s="2"/>
    </row>
    <row r="478">
      <c r="A478" s="85"/>
      <c r="D478" s="2"/>
    </row>
    <row r="479">
      <c r="A479" s="85"/>
      <c r="D479" s="2"/>
    </row>
    <row r="480">
      <c r="A480" s="85"/>
      <c r="D480" s="2"/>
    </row>
    <row r="481">
      <c r="A481" s="85"/>
      <c r="D481" s="2"/>
    </row>
    <row r="482">
      <c r="A482" s="85"/>
      <c r="D482" s="2"/>
    </row>
    <row r="483">
      <c r="A483" s="85"/>
      <c r="D483" s="2"/>
    </row>
    <row r="484">
      <c r="A484" s="85"/>
      <c r="D484" s="2"/>
    </row>
    <row r="485">
      <c r="A485" s="85"/>
      <c r="D485" s="2"/>
    </row>
    <row r="486">
      <c r="A486" s="85"/>
      <c r="D486" s="2"/>
    </row>
    <row r="487">
      <c r="A487" s="85"/>
      <c r="D487" s="2"/>
    </row>
    <row r="488">
      <c r="A488" s="85"/>
      <c r="D488" s="2"/>
    </row>
    <row r="489">
      <c r="A489" s="85"/>
      <c r="D489" s="2"/>
    </row>
    <row r="490">
      <c r="A490" s="85"/>
      <c r="D490" s="2"/>
    </row>
    <row r="491">
      <c r="A491" s="85"/>
      <c r="D491" s="2"/>
    </row>
    <row r="492">
      <c r="A492" s="85"/>
      <c r="D492" s="2"/>
    </row>
    <row r="493">
      <c r="A493" s="85"/>
      <c r="D493" s="2"/>
    </row>
    <row r="494">
      <c r="A494" s="85"/>
      <c r="D494" s="2"/>
    </row>
    <row r="495">
      <c r="A495" s="85"/>
      <c r="D495" s="2"/>
    </row>
    <row r="496">
      <c r="A496" s="85"/>
      <c r="D496" s="2"/>
    </row>
    <row r="497">
      <c r="A497" s="85"/>
      <c r="D497" s="2"/>
    </row>
    <row r="498">
      <c r="A498" s="85"/>
      <c r="D498" s="2"/>
    </row>
    <row r="499">
      <c r="A499" s="85"/>
      <c r="D499" s="2"/>
    </row>
    <row r="500">
      <c r="A500" s="85"/>
      <c r="D500" s="2"/>
    </row>
    <row r="501">
      <c r="A501" s="85"/>
      <c r="D501" s="2"/>
    </row>
    <row r="502">
      <c r="A502" s="85"/>
      <c r="D502" s="2"/>
    </row>
    <row r="503">
      <c r="A503" s="85"/>
      <c r="D503" s="2"/>
    </row>
    <row r="504">
      <c r="A504" s="85"/>
      <c r="D504" s="2"/>
    </row>
    <row r="505">
      <c r="A505" s="85"/>
      <c r="D505" s="2"/>
    </row>
    <row r="506">
      <c r="A506" s="85"/>
      <c r="D506" s="2"/>
    </row>
    <row r="507">
      <c r="A507" s="85"/>
      <c r="D507" s="2"/>
    </row>
    <row r="508">
      <c r="A508" s="85"/>
      <c r="D508" s="2"/>
    </row>
    <row r="509">
      <c r="A509" s="85"/>
      <c r="D509" s="2"/>
    </row>
    <row r="510">
      <c r="A510" s="85"/>
      <c r="D510" s="2"/>
    </row>
    <row r="511">
      <c r="A511" s="85"/>
      <c r="D511" s="2"/>
    </row>
    <row r="512">
      <c r="A512" s="85"/>
      <c r="D512" s="2"/>
    </row>
    <row r="513">
      <c r="A513" s="85"/>
      <c r="D513" s="2"/>
    </row>
    <row r="514">
      <c r="A514" s="85"/>
      <c r="D514" s="2"/>
    </row>
    <row r="515">
      <c r="A515" s="85"/>
      <c r="D515" s="2"/>
    </row>
    <row r="516">
      <c r="A516" s="85"/>
      <c r="D516" s="2"/>
    </row>
    <row r="517">
      <c r="A517" s="85"/>
      <c r="D517" s="2"/>
    </row>
    <row r="518">
      <c r="A518" s="85"/>
      <c r="D518" s="2"/>
    </row>
    <row r="519">
      <c r="A519" s="85"/>
      <c r="D519" s="2"/>
    </row>
    <row r="520">
      <c r="A520" s="85"/>
      <c r="D520" s="2"/>
    </row>
    <row r="521">
      <c r="A521" s="85"/>
      <c r="D521" s="2"/>
    </row>
    <row r="522">
      <c r="A522" s="85"/>
      <c r="D522" s="2"/>
    </row>
    <row r="523">
      <c r="A523" s="85"/>
      <c r="D523" s="2"/>
    </row>
    <row r="524">
      <c r="A524" s="85"/>
      <c r="D524" s="2"/>
    </row>
    <row r="525">
      <c r="A525" s="85"/>
      <c r="D525" s="2"/>
    </row>
    <row r="526">
      <c r="A526" s="85"/>
      <c r="D526" s="2"/>
    </row>
    <row r="527">
      <c r="A527" s="85"/>
      <c r="D527" s="2"/>
    </row>
    <row r="528">
      <c r="A528" s="85"/>
      <c r="D528" s="2"/>
    </row>
    <row r="529">
      <c r="A529" s="85"/>
      <c r="D529" s="2"/>
    </row>
    <row r="530">
      <c r="A530" s="85"/>
      <c r="D530" s="2"/>
    </row>
    <row r="531">
      <c r="A531" s="85"/>
      <c r="D531" s="2"/>
    </row>
    <row r="532">
      <c r="A532" s="85"/>
      <c r="D532" s="2"/>
    </row>
    <row r="533">
      <c r="A533" s="85"/>
      <c r="D533" s="2"/>
    </row>
    <row r="534">
      <c r="A534" s="85"/>
      <c r="D534" s="2"/>
    </row>
    <row r="535">
      <c r="A535" s="85"/>
      <c r="D535" s="2"/>
    </row>
    <row r="536">
      <c r="A536" s="85"/>
      <c r="D536" s="2"/>
    </row>
    <row r="537">
      <c r="A537" s="85"/>
      <c r="D537" s="2"/>
    </row>
    <row r="538">
      <c r="A538" s="85"/>
      <c r="D538" s="2"/>
    </row>
    <row r="539">
      <c r="A539" s="85"/>
      <c r="D539" s="2"/>
    </row>
    <row r="540">
      <c r="A540" s="85"/>
      <c r="D540" s="2"/>
    </row>
    <row r="541">
      <c r="A541" s="85"/>
      <c r="D541" s="2"/>
    </row>
    <row r="542">
      <c r="A542" s="85"/>
      <c r="D542" s="2"/>
    </row>
    <row r="543">
      <c r="A543" s="85"/>
      <c r="D543" s="2"/>
    </row>
    <row r="544">
      <c r="A544" s="85"/>
      <c r="D544" s="2"/>
    </row>
    <row r="545">
      <c r="A545" s="85"/>
      <c r="D545" s="2"/>
    </row>
    <row r="546">
      <c r="A546" s="85"/>
      <c r="D546" s="2"/>
    </row>
    <row r="547">
      <c r="A547" s="85"/>
      <c r="D547" s="2"/>
    </row>
    <row r="548">
      <c r="A548" s="85"/>
      <c r="D548" s="2"/>
    </row>
    <row r="549">
      <c r="A549" s="85"/>
      <c r="D549" s="2"/>
    </row>
    <row r="550">
      <c r="A550" s="85"/>
      <c r="D550" s="2"/>
    </row>
    <row r="551">
      <c r="A551" s="85"/>
      <c r="D551" s="2"/>
    </row>
    <row r="552">
      <c r="A552" s="85"/>
      <c r="D552" s="2"/>
    </row>
    <row r="553">
      <c r="A553" s="85"/>
      <c r="D553" s="2"/>
    </row>
    <row r="554">
      <c r="A554" s="85"/>
      <c r="D554" s="2"/>
    </row>
    <row r="555">
      <c r="A555" s="85"/>
      <c r="D555" s="2"/>
    </row>
    <row r="556">
      <c r="A556" s="85"/>
      <c r="D556" s="2"/>
    </row>
    <row r="557">
      <c r="A557" s="85"/>
      <c r="D557" s="2"/>
    </row>
    <row r="558">
      <c r="A558" s="85"/>
      <c r="D558" s="2"/>
    </row>
    <row r="559">
      <c r="A559" s="85"/>
      <c r="D559" s="2"/>
    </row>
    <row r="560">
      <c r="A560" s="85"/>
      <c r="D560" s="2"/>
    </row>
    <row r="561">
      <c r="A561" s="85"/>
      <c r="D561" s="2"/>
    </row>
    <row r="562">
      <c r="A562" s="85"/>
      <c r="D562" s="2"/>
    </row>
    <row r="563">
      <c r="A563" s="85"/>
      <c r="D563" s="2"/>
    </row>
    <row r="564">
      <c r="A564" s="85"/>
      <c r="D564" s="2"/>
    </row>
    <row r="565">
      <c r="A565" s="85"/>
      <c r="D565" s="2"/>
    </row>
    <row r="566">
      <c r="A566" s="85"/>
      <c r="D566" s="2"/>
    </row>
    <row r="567">
      <c r="A567" s="85"/>
      <c r="D567" s="2"/>
    </row>
    <row r="568">
      <c r="A568" s="85"/>
      <c r="D568" s="2"/>
    </row>
    <row r="569">
      <c r="A569" s="85"/>
      <c r="D569" s="2"/>
    </row>
    <row r="570">
      <c r="A570" s="85"/>
      <c r="D570" s="2"/>
    </row>
    <row r="571">
      <c r="A571" s="85"/>
      <c r="D571" s="2"/>
    </row>
    <row r="572">
      <c r="A572" s="85"/>
      <c r="D572" s="2"/>
    </row>
    <row r="573">
      <c r="A573" s="85"/>
      <c r="D573" s="2"/>
    </row>
    <row r="574">
      <c r="A574" s="85"/>
      <c r="D574" s="2"/>
    </row>
    <row r="575">
      <c r="A575" s="85"/>
      <c r="D575" s="2"/>
    </row>
    <row r="576">
      <c r="A576" s="85"/>
      <c r="D576" s="2"/>
    </row>
    <row r="577">
      <c r="A577" s="85"/>
      <c r="D577" s="2"/>
    </row>
    <row r="578">
      <c r="A578" s="85"/>
      <c r="D578" s="2"/>
    </row>
    <row r="579">
      <c r="A579" s="85"/>
      <c r="D579" s="2"/>
    </row>
    <row r="580">
      <c r="A580" s="85"/>
      <c r="D580" s="2"/>
    </row>
    <row r="581">
      <c r="A581" s="85"/>
      <c r="D581" s="2"/>
    </row>
    <row r="582">
      <c r="A582" s="85"/>
      <c r="D582" s="2"/>
    </row>
    <row r="583">
      <c r="A583" s="85"/>
      <c r="D583" s="2"/>
    </row>
    <row r="584">
      <c r="A584" s="85"/>
      <c r="D584" s="2"/>
    </row>
    <row r="585">
      <c r="A585" s="85"/>
      <c r="D585" s="2"/>
    </row>
    <row r="586">
      <c r="A586" s="85"/>
      <c r="D586" s="2"/>
    </row>
    <row r="587">
      <c r="A587" s="85"/>
      <c r="D587" s="2"/>
    </row>
    <row r="588">
      <c r="A588" s="85"/>
      <c r="D588" s="2"/>
    </row>
    <row r="589">
      <c r="A589" s="85"/>
      <c r="D589" s="2"/>
    </row>
    <row r="590">
      <c r="A590" s="85"/>
      <c r="D590" s="2"/>
    </row>
    <row r="591">
      <c r="A591" s="85"/>
      <c r="D591" s="2"/>
    </row>
    <row r="592">
      <c r="A592" s="85"/>
      <c r="D592" s="2"/>
    </row>
    <row r="593">
      <c r="A593" s="85"/>
      <c r="D593" s="2"/>
    </row>
    <row r="594">
      <c r="A594" s="85"/>
      <c r="D594" s="2"/>
    </row>
    <row r="595">
      <c r="A595" s="85"/>
      <c r="D595" s="2"/>
    </row>
    <row r="596">
      <c r="A596" s="85"/>
      <c r="D596" s="2"/>
    </row>
    <row r="597">
      <c r="A597" s="85"/>
      <c r="D597" s="2"/>
    </row>
    <row r="598">
      <c r="A598" s="85"/>
      <c r="D598" s="2"/>
    </row>
    <row r="599">
      <c r="A599" s="85"/>
      <c r="D599" s="2"/>
    </row>
    <row r="600">
      <c r="A600" s="85"/>
      <c r="D600" s="2"/>
    </row>
    <row r="601">
      <c r="A601" s="85"/>
      <c r="D601" s="2"/>
    </row>
    <row r="602">
      <c r="A602" s="85"/>
      <c r="D602" s="2"/>
    </row>
    <row r="603">
      <c r="A603" s="85"/>
      <c r="D603" s="2"/>
    </row>
    <row r="604">
      <c r="A604" s="85"/>
      <c r="D604" s="2"/>
    </row>
    <row r="605">
      <c r="A605" s="85"/>
      <c r="D605" s="2"/>
    </row>
    <row r="606">
      <c r="A606" s="85"/>
      <c r="D606" s="2"/>
    </row>
    <row r="607">
      <c r="A607" s="85"/>
      <c r="D607" s="2"/>
    </row>
    <row r="608">
      <c r="A608" s="85"/>
      <c r="D608" s="2"/>
    </row>
    <row r="609">
      <c r="A609" s="85"/>
      <c r="D609" s="2"/>
    </row>
    <row r="610">
      <c r="A610" s="85"/>
      <c r="D610" s="2"/>
    </row>
    <row r="611">
      <c r="A611" s="85"/>
      <c r="D611" s="2"/>
    </row>
    <row r="612">
      <c r="A612" s="85"/>
      <c r="D612" s="2"/>
    </row>
    <row r="613">
      <c r="A613" s="85"/>
      <c r="D613" s="2"/>
    </row>
    <row r="614">
      <c r="A614" s="85"/>
      <c r="D614" s="2"/>
    </row>
    <row r="615">
      <c r="A615" s="85"/>
      <c r="D615" s="2"/>
    </row>
    <row r="616">
      <c r="A616" s="85"/>
      <c r="D616" s="2"/>
    </row>
    <row r="617">
      <c r="A617" s="85"/>
      <c r="D617" s="2"/>
    </row>
    <row r="618">
      <c r="A618" s="85"/>
      <c r="D618" s="2"/>
    </row>
    <row r="619">
      <c r="A619" s="85"/>
      <c r="D619" s="2"/>
    </row>
    <row r="620">
      <c r="A620" s="85"/>
      <c r="D620" s="2"/>
    </row>
    <row r="621">
      <c r="A621" s="85"/>
      <c r="D621" s="2"/>
    </row>
    <row r="622">
      <c r="A622" s="85"/>
      <c r="D622" s="2"/>
    </row>
    <row r="623">
      <c r="A623" s="85"/>
      <c r="D623" s="2"/>
    </row>
    <row r="624">
      <c r="A624" s="85"/>
      <c r="D624" s="2"/>
    </row>
    <row r="625">
      <c r="A625" s="85"/>
      <c r="D625" s="2"/>
    </row>
    <row r="626">
      <c r="A626" s="85"/>
      <c r="D626" s="2"/>
    </row>
    <row r="627">
      <c r="A627" s="85"/>
      <c r="D627" s="2"/>
    </row>
    <row r="628">
      <c r="A628" s="85"/>
      <c r="D628" s="2"/>
    </row>
    <row r="629">
      <c r="A629" s="85"/>
      <c r="D629" s="2"/>
    </row>
    <row r="630">
      <c r="A630" s="85"/>
      <c r="D630" s="2"/>
    </row>
    <row r="631">
      <c r="A631" s="85"/>
      <c r="D631" s="2"/>
    </row>
    <row r="632">
      <c r="A632" s="85"/>
      <c r="D632" s="2"/>
    </row>
    <row r="633">
      <c r="A633" s="85"/>
      <c r="D633" s="2"/>
    </row>
    <row r="634">
      <c r="A634" s="85"/>
      <c r="D634" s="2"/>
    </row>
    <row r="635">
      <c r="A635" s="85"/>
      <c r="D635" s="2"/>
    </row>
    <row r="636">
      <c r="A636" s="85"/>
      <c r="D636" s="2"/>
    </row>
    <row r="637">
      <c r="A637" s="85"/>
      <c r="D637" s="2"/>
    </row>
    <row r="638">
      <c r="A638" s="85"/>
      <c r="D638" s="2"/>
    </row>
    <row r="639">
      <c r="A639" s="85"/>
      <c r="D639" s="2"/>
    </row>
    <row r="640">
      <c r="A640" s="85"/>
      <c r="D640" s="2"/>
    </row>
    <row r="641">
      <c r="A641" s="85"/>
      <c r="D641" s="2"/>
    </row>
    <row r="642">
      <c r="A642" s="85"/>
      <c r="D642" s="2"/>
    </row>
    <row r="643">
      <c r="A643" s="85"/>
      <c r="D643" s="2"/>
    </row>
    <row r="644">
      <c r="A644" s="85"/>
      <c r="D644" s="2"/>
    </row>
    <row r="645">
      <c r="A645" s="85"/>
      <c r="D645" s="2"/>
    </row>
    <row r="646">
      <c r="A646" s="85"/>
      <c r="D646" s="2"/>
    </row>
    <row r="647">
      <c r="A647" s="85"/>
      <c r="D647" s="2"/>
    </row>
    <row r="648">
      <c r="A648" s="85"/>
      <c r="D648" s="2"/>
    </row>
    <row r="649">
      <c r="A649" s="85"/>
      <c r="D649" s="2"/>
    </row>
    <row r="650">
      <c r="A650" s="85"/>
      <c r="D650" s="2"/>
    </row>
    <row r="651">
      <c r="A651" s="85"/>
      <c r="D651" s="2"/>
    </row>
    <row r="652">
      <c r="A652" s="85"/>
      <c r="D652" s="2"/>
    </row>
    <row r="653">
      <c r="A653" s="85"/>
      <c r="D653" s="2"/>
    </row>
    <row r="654">
      <c r="A654" s="85"/>
      <c r="D654" s="2"/>
    </row>
    <row r="655">
      <c r="A655" s="85"/>
      <c r="D655" s="2"/>
    </row>
    <row r="656">
      <c r="A656" s="85"/>
      <c r="D656" s="2"/>
    </row>
    <row r="657">
      <c r="A657" s="85"/>
      <c r="D657" s="2"/>
    </row>
    <row r="658">
      <c r="A658" s="85"/>
      <c r="D658" s="2"/>
    </row>
    <row r="659">
      <c r="A659" s="85"/>
      <c r="D659" s="2"/>
    </row>
    <row r="660">
      <c r="A660" s="85"/>
      <c r="D660" s="2"/>
    </row>
    <row r="661">
      <c r="A661" s="85"/>
      <c r="D661" s="2"/>
    </row>
    <row r="662">
      <c r="A662" s="85"/>
      <c r="D662" s="2"/>
    </row>
    <row r="663">
      <c r="A663" s="85"/>
      <c r="D663" s="2"/>
    </row>
    <row r="664">
      <c r="A664" s="85"/>
      <c r="D664" s="2"/>
    </row>
    <row r="665">
      <c r="A665" s="85"/>
      <c r="D665" s="2"/>
    </row>
    <row r="666">
      <c r="A666" s="85"/>
      <c r="D666" s="2"/>
    </row>
    <row r="667">
      <c r="A667" s="85"/>
      <c r="D667" s="2"/>
    </row>
    <row r="668">
      <c r="A668" s="85"/>
      <c r="D668" s="2"/>
    </row>
    <row r="669">
      <c r="A669" s="85"/>
      <c r="D669" s="2"/>
    </row>
    <row r="670">
      <c r="A670" s="85"/>
      <c r="D670" s="2"/>
    </row>
    <row r="671">
      <c r="A671" s="85"/>
      <c r="D671" s="2"/>
    </row>
    <row r="672">
      <c r="A672" s="85"/>
      <c r="D672" s="2"/>
    </row>
    <row r="673">
      <c r="A673" s="85"/>
      <c r="D673" s="2"/>
    </row>
    <row r="674">
      <c r="A674" s="85"/>
      <c r="D674" s="2"/>
    </row>
    <row r="675">
      <c r="A675" s="85"/>
      <c r="D675" s="2"/>
    </row>
    <row r="676">
      <c r="A676" s="85"/>
      <c r="D676" s="2"/>
    </row>
    <row r="677">
      <c r="A677" s="85"/>
      <c r="D677" s="2"/>
    </row>
    <row r="678">
      <c r="A678" s="85"/>
      <c r="D678" s="2"/>
    </row>
    <row r="679">
      <c r="A679" s="85"/>
      <c r="D679" s="2"/>
    </row>
    <row r="680">
      <c r="A680" s="85"/>
      <c r="D680" s="2"/>
    </row>
    <row r="681">
      <c r="A681" s="85"/>
      <c r="D681" s="2"/>
    </row>
    <row r="682">
      <c r="A682" s="85"/>
      <c r="D682" s="2"/>
    </row>
    <row r="683">
      <c r="A683" s="85"/>
      <c r="D683" s="2"/>
    </row>
    <row r="684">
      <c r="A684" s="85"/>
      <c r="D684" s="2"/>
    </row>
    <row r="685">
      <c r="A685" s="85"/>
      <c r="D685" s="2"/>
    </row>
    <row r="686">
      <c r="A686" s="85"/>
      <c r="D686" s="2"/>
    </row>
    <row r="687">
      <c r="A687" s="85"/>
      <c r="D687" s="2"/>
    </row>
    <row r="688">
      <c r="A688" s="85"/>
      <c r="D688" s="2"/>
    </row>
    <row r="689">
      <c r="A689" s="85"/>
      <c r="D689" s="2"/>
    </row>
    <row r="690">
      <c r="A690" s="85"/>
      <c r="D690" s="2"/>
    </row>
    <row r="691">
      <c r="A691" s="85"/>
      <c r="D691" s="2"/>
    </row>
    <row r="692">
      <c r="A692" s="85"/>
      <c r="D692" s="2"/>
    </row>
    <row r="693">
      <c r="A693" s="85"/>
      <c r="D693" s="2"/>
    </row>
    <row r="694">
      <c r="A694" s="85"/>
      <c r="D694" s="2"/>
    </row>
    <row r="695">
      <c r="A695" s="85"/>
      <c r="D695" s="2"/>
    </row>
    <row r="696">
      <c r="A696" s="85"/>
      <c r="D696" s="2"/>
    </row>
    <row r="697">
      <c r="A697" s="85"/>
      <c r="D697" s="2"/>
    </row>
    <row r="698">
      <c r="A698" s="85"/>
      <c r="D698" s="2"/>
    </row>
    <row r="699">
      <c r="A699" s="85"/>
      <c r="D699" s="2"/>
    </row>
    <row r="700">
      <c r="A700" s="85"/>
      <c r="D700" s="2"/>
    </row>
    <row r="701">
      <c r="A701" s="85"/>
      <c r="D701" s="2"/>
    </row>
    <row r="702">
      <c r="A702" s="85"/>
      <c r="D702" s="2"/>
    </row>
    <row r="703">
      <c r="A703" s="85"/>
      <c r="D703" s="2"/>
    </row>
    <row r="704">
      <c r="A704" s="85"/>
      <c r="D704" s="2"/>
    </row>
    <row r="705">
      <c r="A705" s="85"/>
      <c r="D705" s="2"/>
    </row>
    <row r="706">
      <c r="A706" s="85"/>
      <c r="D706" s="2"/>
    </row>
    <row r="707">
      <c r="A707" s="85"/>
      <c r="D707" s="2"/>
    </row>
    <row r="708">
      <c r="A708" s="85"/>
      <c r="D708" s="2"/>
    </row>
    <row r="709">
      <c r="A709" s="85"/>
      <c r="D709" s="2"/>
    </row>
    <row r="710">
      <c r="A710" s="85"/>
      <c r="D710" s="2"/>
    </row>
    <row r="711">
      <c r="A711" s="85"/>
      <c r="D711" s="2"/>
    </row>
    <row r="712">
      <c r="A712" s="85"/>
      <c r="D712" s="2"/>
    </row>
    <row r="713">
      <c r="A713" s="85"/>
      <c r="D713" s="2"/>
    </row>
    <row r="714">
      <c r="A714" s="85"/>
      <c r="D714" s="2"/>
    </row>
    <row r="715">
      <c r="A715" s="85"/>
      <c r="D715" s="2"/>
    </row>
    <row r="716">
      <c r="A716" s="85"/>
      <c r="D716" s="2"/>
    </row>
    <row r="717">
      <c r="A717" s="85"/>
      <c r="D717" s="2"/>
    </row>
    <row r="718">
      <c r="A718" s="85"/>
      <c r="D718" s="2"/>
    </row>
    <row r="719">
      <c r="A719" s="85"/>
      <c r="D719" s="2"/>
    </row>
    <row r="720">
      <c r="A720" s="85"/>
      <c r="D720" s="2"/>
    </row>
    <row r="721">
      <c r="A721" s="85"/>
      <c r="D721" s="2"/>
    </row>
    <row r="722">
      <c r="A722" s="85"/>
      <c r="D722" s="2"/>
    </row>
    <row r="723">
      <c r="A723" s="85"/>
      <c r="D723" s="2"/>
    </row>
    <row r="724">
      <c r="A724" s="85"/>
      <c r="D724" s="2"/>
    </row>
    <row r="725">
      <c r="A725" s="85"/>
      <c r="D725" s="2"/>
    </row>
    <row r="726">
      <c r="A726" s="85"/>
      <c r="D726" s="2"/>
    </row>
    <row r="727">
      <c r="A727" s="85"/>
      <c r="D727" s="2"/>
    </row>
    <row r="728">
      <c r="A728" s="85"/>
      <c r="D728" s="2"/>
    </row>
    <row r="729">
      <c r="A729" s="85"/>
      <c r="D729" s="2"/>
    </row>
    <row r="730">
      <c r="A730" s="85"/>
      <c r="D730" s="2"/>
    </row>
    <row r="731">
      <c r="A731" s="85"/>
      <c r="D731" s="2"/>
    </row>
    <row r="732">
      <c r="A732" s="85"/>
      <c r="D732" s="2"/>
    </row>
    <row r="733">
      <c r="A733" s="85"/>
      <c r="D733" s="2"/>
    </row>
    <row r="734">
      <c r="A734" s="85"/>
      <c r="D734" s="2"/>
    </row>
    <row r="735">
      <c r="A735" s="85"/>
      <c r="D735" s="2"/>
    </row>
    <row r="736">
      <c r="A736" s="85"/>
      <c r="D736" s="2"/>
    </row>
    <row r="737">
      <c r="A737" s="85"/>
      <c r="D737" s="2"/>
    </row>
    <row r="738">
      <c r="A738" s="85"/>
      <c r="D738" s="2"/>
    </row>
    <row r="739">
      <c r="A739" s="85"/>
      <c r="D739" s="2"/>
    </row>
    <row r="740">
      <c r="A740" s="85"/>
      <c r="D740" s="2"/>
    </row>
    <row r="741">
      <c r="A741" s="85"/>
      <c r="D741" s="2"/>
    </row>
    <row r="742">
      <c r="A742" s="85"/>
      <c r="D742" s="2"/>
    </row>
    <row r="743">
      <c r="A743" s="85"/>
      <c r="D743" s="2"/>
    </row>
    <row r="744">
      <c r="A744" s="85"/>
      <c r="D744" s="2"/>
    </row>
    <row r="745">
      <c r="A745" s="85"/>
      <c r="D745" s="2"/>
    </row>
    <row r="746">
      <c r="A746" s="85"/>
      <c r="D746" s="2"/>
    </row>
    <row r="747">
      <c r="A747" s="85"/>
      <c r="D747" s="2"/>
    </row>
    <row r="748">
      <c r="A748" s="85"/>
      <c r="D748" s="2"/>
    </row>
    <row r="749">
      <c r="A749" s="85"/>
      <c r="D749" s="2"/>
    </row>
    <row r="750">
      <c r="A750" s="85"/>
      <c r="D750" s="2"/>
    </row>
    <row r="751">
      <c r="A751" s="85"/>
      <c r="D751" s="2"/>
    </row>
    <row r="752">
      <c r="A752" s="85"/>
      <c r="D752" s="2"/>
    </row>
    <row r="753">
      <c r="A753" s="85"/>
      <c r="D753" s="2"/>
    </row>
    <row r="754">
      <c r="A754" s="85"/>
      <c r="D754" s="2"/>
    </row>
    <row r="755">
      <c r="A755" s="85"/>
      <c r="D755" s="2"/>
    </row>
    <row r="756">
      <c r="A756" s="85"/>
      <c r="D756" s="2"/>
    </row>
    <row r="757">
      <c r="A757" s="85"/>
      <c r="D757" s="2"/>
    </row>
    <row r="758">
      <c r="A758" s="85"/>
      <c r="D758" s="2"/>
    </row>
    <row r="759">
      <c r="A759" s="85"/>
      <c r="D759" s="2"/>
    </row>
    <row r="760">
      <c r="A760" s="85"/>
      <c r="D760" s="2"/>
    </row>
    <row r="761">
      <c r="A761" s="85"/>
      <c r="D761" s="2"/>
    </row>
    <row r="762">
      <c r="A762" s="85"/>
      <c r="D762" s="2"/>
    </row>
    <row r="763">
      <c r="A763" s="85"/>
      <c r="D763" s="2"/>
    </row>
    <row r="764">
      <c r="A764" s="85"/>
      <c r="D764" s="2"/>
    </row>
    <row r="765">
      <c r="A765" s="85"/>
      <c r="D765" s="2"/>
    </row>
    <row r="766">
      <c r="A766" s="85"/>
      <c r="D766" s="2"/>
    </row>
    <row r="767">
      <c r="A767" s="85"/>
      <c r="D767" s="2"/>
    </row>
    <row r="768">
      <c r="A768" s="85"/>
      <c r="D768" s="2"/>
    </row>
    <row r="769">
      <c r="A769" s="85"/>
      <c r="D769" s="2"/>
    </row>
    <row r="770">
      <c r="A770" s="85"/>
      <c r="D770" s="2"/>
    </row>
    <row r="771">
      <c r="A771" s="85"/>
      <c r="D771" s="2"/>
    </row>
    <row r="772">
      <c r="A772" s="85"/>
      <c r="D772" s="2"/>
    </row>
    <row r="773">
      <c r="A773" s="85"/>
      <c r="D773" s="2"/>
    </row>
    <row r="774">
      <c r="A774" s="85"/>
      <c r="D774" s="2"/>
    </row>
    <row r="775">
      <c r="A775" s="85"/>
      <c r="D775" s="2"/>
    </row>
    <row r="776">
      <c r="A776" s="85"/>
      <c r="D776" s="2"/>
    </row>
    <row r="777">
      <c r="A777" s="85"/>
      <c r="D777" s="2"/>
    </row>
    <row r="778">
      <c r="A778" s="85"/>
      <c r="D778" s="2"/>
    </row>
    <row r="779">
      <c r="A779" s="85"/>
      <c r="D779" s="2"/>
    </row>
    <row r="780">
      <c r="A780" s="85"/>
      <c r="D780" s="2"/>
    </row>
    <row r="781">
      <c r="A781" s="85"/>
      <c r="D781" s="2"/>
    </row>
    <row r="782">
      <c r="A782" s="85"/>
      <c r="D782" s="2"/>
    </row>
    <row r="783">
      <c r="A783" s="85"/>
      <c r="D783" s="2"/>
    </row>
    <row r="784">
      <c r="A784" s="85"/>
      <c r="D784" s="2"/>
    </row>
    <row r="785">
      <c r="A785" s="85"/>
      <c r="D785" s="2"/>
    </row>
    <row r="786">
      <c r="A786" s="85"/>
      <c r="D786" s="2"/>
    </row>
    <row r="787">
      <c r="A787" s="85"/>
      <c r="D787" s="2"/>
    </row>
    <row r="788">
      <c r="A788" s="85"/>
      <c r="D788" s="2"/>
    </row>
    <row r="789">
      <c r="A789" s="85"/>
      <c r="D789" s="2"/>
    </row>
    <row r="790">
      <c r="A790" s="85"/>
      <c r="D790" s="2"/>
    </row>
    <row r="791">
      <c r="A791" s="85"/>
      <c r="D791" s="2"/>
    </row>
    <row r="792">
      <c r="A792" s="85"/>
      <c r="D792" s="2"/>
    </row>
    <row r="793">
      <c r="A793" s="85"/>
      <c r="D793" s="2"/>
    </row>
    <row r="794">
      <c r="A794" s="85"/>
      <c r="D794" s="2"/>
    </row>
    <row r="795">
      <c r="A795" s="85"/>
      <c r="D795" s="2"/>
    </row>
    <row r="796">
      <c r="A796" s="85"/>
      <c r="D796" s="2"/>
    </row>
    <row r="797">
      <c r="A797" s="85"/>
      <c r="D797" s="2"/>
    </row>
    <row r="798">
      <c r="A798" s="85"/>
      <c r="D798" s="2"/>
    </row>
    <row r="799">
      <c r="A799" s="85"/>
      <c r="D799" s="2"/>
    </row>
    <row r="800">
      <c r="A800" s="85"/>
      <c r="D800" s="2"/>
    </row>
    <row r="801">
      <c r="A801" s="85"/>
      <c r="D801" s="2"/>
    </row>
    <row r="802">
      <c r="A802" s="85"/>
      <c r="D802" s="2"/>
    </row>
    <row r="803">
      <c r="A803" s="85"/>
      <c r="D803" s="2"/>
    </row>
    <row r="804">
      <c r="A804" s="85"/>
      <c r="D804" s="2"/>
    </row>
    <row r="805">
      <c r="A805" s="85"/>
      <c r="D805" s="2"/>
    </row>
    <row r="806">
      <c r="A806" s="85"/>
      <c r="D806" s="2"/>
    </row>
    <row r="807">
      <c r="A807" s="85"/>
      <c r="D807" s="2"/>
    </row>
    <row r="808">
      <c r="A808" s="85"/>
      <c r="D808" s="2"/>
    </row>
    <row r="809">
      <c r="A809" s="85"/>
      <c r="D809" s="2"/>
    </row>
    <row r="810">
      <c r="A810" s="85"/>
      <c r="D810" s="2"/>
    </row>
    <row r="811">
      <c r="A811" s="85"/>
      <c r="D811" s="2"/>
    </row>
    <row r="812">
      <c r="A812" s="85"/>
      <c r="D812" s="2"/>
    </row>
    <row r="813">
      <c r="A813" s="85"/>
      <c r="D813" s="2"/>
    </row>
    <row r="814">
      <c r="A814" s="85"/>
      <c r="D814" s="2"/>
    </row>
    <row r="815">
      <c r="A815" s="85"/>
      <c r="D815" s="2"/>
    </row>
    <row r="816">
      <c r="A816" s="85"/>
      <c r="D816" s="2"/>
    </row>
    <row r="817">
      <c r="A817" s="85"/>
      <c r="D817" s="2"/>
    </row>
    <row r="818">
      <c r="A818" s="85"/>
      <c r="D818" s="2"/>
    </row>
    <row r="819">
      <c r="A819" s="85"/>
      <c r="D819" s="2"/>
    </row>
    <row r="820">
      <c r="A820" s="85"/>
      <c r="D820" s="2"/>
    </row>
    <row r="821">
      <c r="A821" s="85"/>
      <c r="D821" s="2"/>
    </row>
    <row r="822">
      <c r="A822" s="85"/>
      <c r="D822" s="2"/>
    </row>
    <row r="823">
      <c r="A823" s="85"/>
      <c r="D823" s="2"/>
    </row>
    <row r="824">
      <c r="A824" s="85"/>
      <c r="D824" s="2"/>
    </row>
    <row r="825">
      <c r="A825" s="85"/>
      <c r="D825" s="2"/>
    </row>
    <row r="826">
      <c r="A826" s="85"/>
      <c r="D826" s="2"/>
    </row>
    <row r="827">
      <c r="A827" s="85"/>
      <c r="D827" s="2"/>
    </row>
    <row r="828">
      <c r="A828" s="85"/>
      <c r="D828" s="2"/>
    </row>
    <row r="829">
      <c r="A829" s="85"/>
      <c r="D829" s="2"/>
    </row>
    <row r="830">
      <c r="A830" s="85"/>
      <c r="D830" s="2"/>
    </row>
    <row r="831">
      <c r="A831" s="85"/>
      <c r="D831" s="2"/>
    </row>
    <row r="832">
      <c r="A832" s="85"/>
      <c r="D832" s="2"/>
    </row>
    <row r="833">
      <c r="A833" s="85"/>
      <c r="D833" s="2"/>
    </row>
    <row r="834">
      <c r="A834" s="85"/>
      <c r="D834" s="2"/>
    </row>
    <row r="835">
      <c r="A835" s="85"/>
      <c r="D835" s="2"/>
    </row>
    <row r="836">
      <c r="A836" s="85"/>
      <c r="D836" s="2"/>
    </row>
    <row r="837">
      <c r="A837" s="85"/>
      <c r="D837" s="2"/>
    </row>
    <row r="838">
      <c r="A838" s="85"/>
      <c r="D838" s="2"/>
    </row>
    <row r="839">
      <c r="A839" s="85"/>
      <c r="D839" s="2"/>
    </row>
    <row r="840">
      <c r="A840" s="85"/>
      <c r="D840" s="2"/>
    </row>
    <row r="841">
      <c r="A841" s="85"/>
      <c r="D841" s="2"/>
    </row>
    <row r="842">
      <c r="A842" s="85"/>
      <c r="D842" s="2"/>
    </row>
    <row r="843">
      <c r="A843" s="85"/>
      <c r="D843" s="2"/>
    </row>
    <row r="844">
      <c r="A844" s="85"/>
      <c r="D844" s="2"/>
    </row>
    <row r="845">
      <c r="A845" s="85"/>
      <c r="D845" s="2"/>
    </row>
    <row r="846">
      <c r="A846" s="85"/>
      <c r="D846" s="2"/>
    </row>
    <row r="847">
      <c r="A847" s="85"/>
      <c r="D847" s="2"/>
    </row>
    <row r="848">
      <c r="A848" s="85"/>
      <c r="D848" s="2"/>
    </row>
    <row r="849">
      <c r="A849" s="85"/>
      <c r="D849" s="2"/>
    </row>
    <row r="850">
      <c r="A850" s="85"/>
      <c r="D850" s="2"/>
    </row>
    <row r="851">
      <c r="A851" s="85"/>
      <c r="D851" s="2"/>
    </row>
    <row r="852">
      <c r="A852" s="85"/>
      <c r="D852" s="2"/>
    </row>
    <row r="853">
      <c r="A853" s="85"/>
      <c r="D853" s="2"/>
    </row>
    <row r="854">
      <c r="A854" s="85"/>
      <c r="D854" s="2"/>
    </row>
    <row r="855">
      <c r="A855" s="85"/>
      <c r="D855" s="2"/>
    </row>
    <row r="856">
      <c r="A856" s="85"/>
      <c r="D856" s="2"/>
    </row>
    <row r="857">
      <c r="A857" s="85"/>
      <c r="D857" s="2"/>
    </row>
    <row r="858">
      <c r="A858" s="85"/>
      <c r="D858" s="2"/>
    </row>
    <row r="859">
      <c r="A859" s="85"/>
      <c r="D859" s="2"/>
    </row>
    <row r="860">
      <c r="A860" s="85"/>
      <c r="D860" s="2"/>
    </row>
    <row r="861">
      <c r="A861" s="85"/>
      <c r="D861" s="2"/>
    </row>
    <row r="862">
      <c r="A862" s="85"/>
      <c r="D862" s="2"/>
    </row>
    <row r="863">
      <c r="A863" s="85"/>
      <c r="D863" s="2"/>
    </row>
    <row r="864">
      <c r="A864" s="85"/>
      <c r="D864" s="2"/>
    </row>
    <row r="865">
      <c r="A865" s="85"/>
      <c r="D865" s="2"/>
    </row>
    <row r="866">
      <c r="A866" s="85"/>
      <c r="D866" s="2"/>
    </row>
    <row r="867">
      <c r="A867" s="85"/>
      <c r="D867" s="2"/>
    </row>
    <row r="868">
      <c r="A868" s="85"/>
      <c r="D868" s="2"/>
    </row>
    <row r="869">
      <c r="A869" s="85"/>
      <c r="D869" s="2"/>
    </row>
    <row r="870">
      <c r="A870" s="85"/>
      <c r="D870" s="2"/>
    </row>
    <row r="871">
      <c r="A871" s="85"/>
      <c r="D871" s="2"/>
    </row>
    <row r="872">
      <c r="A872" s="85"/>
      <c r="D872" s="2"/>
    </row>
    <row r="873">
      <c r="A873" s="85"/>
      <c r="D873" s="2"/>
    </row>
    <row r="874">
      <c r="A874" s="85"/>
      <c r="D874" s="2"/>
    </row>
    <row r="875">
      <c r="A875" s="85"/>
      <c r="D875" s="2"/>
    </row>
    <row r="876">
      <c r="A876" s="85"/>
      <c r="D876" s="2"/>
    </row>
    <row r="877">
      <c r="A877" s="85"/>
      <c r="D877" s="2"/>
    </row>
    <row r="878">
      <c r="A878" s="85"/>
      <c r="D878" s="2"/>
    </row>
    <row r="879">
      <c r="A879" s="85"/>
      <c r="D879" s="2"/>
    </row>
    <row r="880">
      <c r="A880" s="85"/>
      <c r="D880" s="2"/>
    </row>
    <row r="881">
      <c r="A881" s="85"/>
      <c r="D881" s="2"/>
    </row>
    <row r="882">
      <c r="A882" s="85"/>
      <c r="D882" s="2"/>
    </row>
    <row r="883">
      <c r="A883" s="85"/>
      <c r="D883" s="2"/>
    </row>
    <row r="884">
      <c r="A884" s="85"/>
      <c r="D884" s="2"/>
    </row>
    <row r="885">
      <c r="A885" s="85"/>
      <c r="D885" s="2"/>
    </row>
    <row r="886">
      <c r="A886" s="85"/>
      <c r="D886" s="2"/>
    </row>
    <row r="887">
      <c r="A887" s="85"/>
      <c r="D887" s="2"/>
    </row>
    <row r="888">
      <c r="A888" s="85"/>
      <c r="D888" s="2"/>
    </row>
    <row r="889">
      <c r="A889" s="85"/>
      <c r="D889" s="2"/>
    </row>
    <row r="890">
      <c r="A890" s="85"/>
      <c r="D890" s="2"/>
    </row>
    <row r="891">
      <c r="A891" s="85"/>
      <c r="D891" s="2"/>
    </row>
    <row r="892">
      <c r="A892" s="85"/>
      <c r="D892" s="2"/>
    </row>
    <row r="893">
      <c r="A893" s="85"/>
      <c r="D893" s="2"/>
    </row>
    <row r="894">
      <c r="A894" s="85"/>
      <c r="D894" s="2"/>
    </row>
    <row r="895">
      <c r="A895" s="85"/>
      <c r="D895" s="2"/>
    </row>
    <row r="896">
      <c r="A896" s="85"/>
      <c r="D896" s="2"/>
    </row>
    <row r="897">
      <c r="A897" s="85"/>
      <c r="D897" s="2"/>
    </row>
    <row r="898">
      <c r="A898" s="85"/>
      <c r="D898" s="2"/>
    </row>
    <row r="899">
      <c r="A899" s="85"/>
      <c r="D899" s="2"/>
    </row>
    <row r="900">
      <c r="A900" s="85"/>
      <c r="D900" s="2"/>
    </row>
    <row r="901">
      <c r="A901" s="85"/>
      <c r="D901" s="2"/>
    </row>
    <row r="902">
      <c r="A902" s="85"/>
      <c r="D902" s="2"/>
    </row>
    <row r="903">
      <c r="A903" s="85"/>
      <c r="D903" s="2"/>
    </row>
    <row r="904">
      <c r="A904" s="85"/>
      <c r="D904" s="2"/>
    </row>
    <row r="905">
      <c r="A905" s="85"/>
      <c r="D905" s="2"/>
    </row>
    <row r="906">
      <c r="A906" s="85"/>
      <c r="D906" s="2"/>
    </row>
    <row r="907">
      <c r="A907" s="85"/>
      <c r="D907" s="2"/>
    </row>
    <row r="908">
      <c r="A908" s="85"/>
      <c r="D908" s="2"/>
    </row>
    <row r="909">
      <c r="A909" s="85"/>
      <c r="D909" s="2"/>
    </row>
    <row r="910">
      <c r="A910" s="85"/>
      <c r="D910" s="2"/>
    </row>
    <row r="911">
      <c r="A911" s="85"/>
      <c r="D911" s="2"/>
    </row>
    <row r="912">
      <c r="A912" s="85"/>
      <c r="D912" s="2"/>
    </row>
    <row r="913">
      <c r="A913" s="85"/>
      <c r="D913" s="2"/>
    </row>
    <row r="914">
      <c r="A914" s="85"/>
      <c r="D914" s="2"/>
    </row>
    <row r="915">
      <c r="A915" s="85"/>
      <c r="D915" s="2"/>
    </row>
    <row r="916">
      <c r="A916" s="85"/>
      <c r="D916" s="2"/>
    </row>
    <row r="917">
      <c r="A917" s="85"/>
      <c r="D917" s="2"/>
    </row>
    <row r="918">
      <c r="A918" s="85"/>
      <c r="D918" s="2"/>
    </row>
    <row r="919">
      <c r="A919" s="85"/>
      <c r="D919" s="2"/>
    </row>
    <row r="920">
      <c r="A920" s="85"/>
      <c r="D920" s="2"/>
    </row>
    <row r="921">
      <c r="A921" s="85"/>
      <c r="D921" s="2"/>
    </row>
    <row r="922">
      <c r="A922" s="85"/>
      <c r="D922" s="2"/>
    </row>
    <row r="923">
      <c r="A923" s="85"/>
      <c r="D923" s="2"/>
    </row>
    <row r="924">
      <c r="A924" s="85"/>
      <c r="D924" s="2"/>
    </row>
    <row r="925">
      <c r="A925" s="85"/>
      <c r="D925" s="2"/>
    </row>
    <row r="926">
      <c r="A926" s="85"/>
      <c r="D926" s="2"/>
    </row>
    <row r="927">
      <c r="A927" s="85"/>
      <c r="D927" s="2"/>
    </row>
    <row r="928">
      <c r="A928" s="85"/>
      <c r="D928" s="2"/>
    </row>
    <row r="929">
      <c r="A929" s="85"/>
      <c r="D929" s="2"/>
    </row>
    <row r="930">
      <c r="A930" s="85"/>
      <c r="D930" s="2"/>
    </row>
    <row r="931">
      <c r="A931" s="85"/>
      <c r="D931" s="2"/>
    </row>
    <row r="932">
      <c r="A932" s="85"/>
      <c r="D932" s="2"/>
    </row>
    <row r="933">
      <c r="A933" s="85"/>
      <c r="D933" s="2"/>
    </row>
    <row r="934">
      <c r="A934" s="85"/>
      <c r="D934" s="2"/>
    </row>
    <row r="935">
      <c r="A935" s="85"/>
      <c r="D935" s="2"/>
    </row>
    <row r="936">
      <c r="A936" s="85"/>
      <c r="D936" s="2"/>
    </row>
    <row r="937">
      <c r="A937" s="85"/>
      <c r="D937" s="2"/>
    </row>
    <row r="938">
      <c r="A938" s="85"/>
      <c r="D938" s="2"/>
    </row>
    <row r="939">
      <c r="A939" s="85"/>
      <c r="D939" s="2"/>
    </row>
    <row r="940">
      <c r="A940" s="85"/>
      <c r="D940" s="2"/>
    </row>
    <row r="941">
      <c r="A941" s="85"/>
      <c r="D941" s="2"/>
    </row>
    <row r="942">
      <c r="A942" s="85"/>
      <c r="D942" s="2"/>
    </row>
    <row r="943">
      <c r="A943" s="85"/>
      <c r="D943" s="2"/>
    </row>
    <row r="944">
      <c r="A944" s="85"/>
      <c r="D944" s="2"/>
    </row>
    <row r="945">
      <c r="A945" s="85"/>
      <c r="D945" s="2"/>
    </row>
    <row r="946">
      <c r="A946" s="85"/>
      <c r="D946" s="2"/>
    </row>
    <row r="947">
      <c r="A947" s="85"/>
      <c r="D947" s="2"/>
    </row>
    <row r="948">
      <c r="A948" s="85"/>
      <c r="D948" s="2"/>
    </row>
    <row r="949">
      <c r="A949" s="85"/>
      <c r="D949" s="2"/>
    </row>
    <row r="950">
      <c r="A950" s="85"/>
      <c r="D950" s="2"/>
    </row>
    <row r="951">
      <c r="A951" s="85"/>
      <c r="D951" s="2"/>
    </row>
    <row r="952">
      <c r="A952" s="85"/>
      <c r="D952" s="2"/>
    </row>
    <row r="953">
      <c r="A953" s="85"/>
      <c r="D953" s="2"/>
    </row>
    <row r="954">
      <c r="A954" s="85"/>
      <c r="D954" s="2"/>
    </row>
    <row r="955">
      <c r="A955" s="85"/>
      <c r="D955" s="2"/>
    </row>
    <row r="956">
      <c r="A956" s="85"/>
      <c r="D956" s="2"/>
    </row>
    <row r="957">
      <c r="A957" s="85"/>
      <c r="D957" s="2"/>
    </row>
    <row r="958">
      <c r="A958" s="85"/>
      <c r="D958" s="2"/>
    </row>
    <row r="959">
      <c r="A959" s="85"/>
      <c r="D959" s="2"/>
    </row>
    <row r="960">
      <c r="A960" s="85"/>
      <c r="D960" s="2"/>
    </row>
    <row r="961">
      <c r="A961" s="85"/>
      <c r="D961" s="2"/>
    </row>
    <row r="962">
      <c r="A962" s="85"/>
      <c r="D962" s="2"/>
    </row>
    <row r="963">
      <c r="A963" s="85"/>
      <c r="D963" s="2"/>
    </row>
    <row r="964">
      <c r="A964" s="85"/>
      <c r="D964" s="2"/>
    </row>
    <row r="965">
      <c r="A965" s="85"/>
      <c r="D965" s="2"/>
    </row>
    <row r="966">
      <c r="A966" s="85"/>
      <c r="D966" s="2"/>
    </row>
    <row r="967">
      <c r="A967" s="85"/>
      <c r="D967" s="2"/>
    </row>
    <row r="968">
      <c r="A968" s="85"/>
      <c r="D968" s="2"/>
    </row>
    <row r="969">
      <c r="A969" s="85"/>
      <c r="D969" s="2"/>
    </row>
    <row r="970">
      <c r="A970" s="85"/>
      <c r="D970" s="2"/>
    </row>
    <row r="971">
      <c r="A971" s="85"/>
      <c r="D971" s="2"/>
    </row>
    <row r="972">
      <c r="A972" s="85"/>
      <c r="D972" s="2"/>
    </row>
    <row r="973">
      <c r="A973" s="85"/>
      <c r="D973" s="2"/>
    </row>
    <row r="974">
      <c r="A974" s="85"/>
      <c r="D974" s="2"/>
    </row>
    <row r="975">
      <c r="A975" s="85"/>
      <c r="D975" s="2"/>
    </row>
    <row r="976">
      <c r="A976" s="85"/>
      <c r="D976" s="2"/>
    </row>
    <row r="977">
      <c r="A977" s="85"/>
      <c r="D977" s="2"/>
    </row>
    <row r="978">
      <c r="A978" s="85"/>
      <c r="D978" s="2"/>
    </row>
    <row r="979">
      <c r="A979" s="85"/>
      <c r="D979" s="2"/>
    </row>
    <row r="980">
      <c r="A980" s="85"/>
      <c r="D980" s="2"/>
    </row>
    <row r="981">
      <c r="A981" s="85"/>
      <c r="D981" s="2"/>
    </row>
    <row r="982">
      <c r="A982" s="85"/>
      <c r="D982" s="2"/>
    </row>
    <row r="983">
      <c r="A983" s="85"/>
      <c r="D983" s="2"/>
    </row>
    <row r="984">
      <c r="A984" s="85"/>
      <c r="D984" s="2"/>
    </row>
    <row r="985">
      <c r="A985" s="85"/>
      <c r="D985" s="2"/>
    </row>
    <row r="986">
      <c r="A986" s="85"/>
      <c r="D986" s="2"/>
    </row>
    <row r="987">
      <c r="A987" s="85"/>
      <c r="D987" s="2"/>
    </row>
    <row r="988">
      <c r="A988" s="85"/>
      <c r="D988" s="2"/>
    </row>
    <row r="989">
      <c r="A989" s="85"/>
      <c r="D989" s="2"/>
    </row>
    <row r="990">
      <c r="A990" s="85"/>
      <c r="D990" s="2"/>
    </row>
    <row r="991">
      <c r="A991" s="85"/>
      <c r="D991" s="2"/>
    </row>
    <row r="992">
      <c r="A992" s="85"/>
      <c r="D992" s="2"/>
    </row>
    <row r="993">
      <c r="A993" s="85"/>
      <c r="D993" s="2"/>
    </row>
    <row r="994">
      <c r="A994" s="85"/>
      <c r="D994" s="2"/>
    </row>
    <row r="995">
      <c r="A995" s="85"/>
      <c r="D995" s="2"/>
    </row>
    <row r="996">
      <c r="A996" s="85"/>
      <c r="D996" s="2"/>
    </row>
    <row r="997">
      <c r="A997" s="85"/>
      <c r="D997" s="2"/>
    </row>
    <row r="998">
      <c r="A998" s="85"/>
      <c r="D998" s="2"/>
    </row>
    <row r="999">
      <c r="A999" s="85"/>
      <c r="D999" s="2"/>
    </row>
    <row r="1000">
      <c r="A1000" s="85"/>
      <c r="D1000" s="2"/>
    </row>
    <row r="1001">
      <c r="A1001" s="85"/>
      <c r="D1001" s="2"/>
    </row>
    <row r="1002">
      <c r="A1002" s="85"/>
      <c r="D1002" s="2"/>
    </row>
    <row r="1003">
      <c r="A1003" s="85"/>
      <c r="D1003" s="2"/>
    </row>
    <row r="1004">
      <c r="A1004" s="85"/>
      <c r="D1004" s="2"/>
    </row>
    <row r="1005">
      <c r="A1005" s="85"/>
      <c r="D1005" s="2"/>
    </row>
    <row r="1006">
      <c r="D1006" s="2"/>
    </row>
    <row r="1007">
      <c r="D1007" s="2"/>
    </row>
    <row r="1008">
      <c r="D1008" s="2"/>
    </row>
    <row r="1009">
      <c r="D1009" s="2"/>
    </row>
    <row r="1010">
      <c r="D1010" s="2"/>
    </row>
    <row r="1011">
      <c r="D1011" s="2"/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</cols>
  <sheetData>
    <row r="1">
      <c r="A1" s="6" t="s">
        <v>17</v>
      </c>
      <c r="B1" s="6" t="s">
        <v>3</v>
      </c>
      <c r="C1" s="6" t="s">
        <v>4</v>
      </c>
      <c r="D1" s="3" t="s">
        <v>5</v>
      </c>
      <c r="F1" s="6" t="s">
        <v>202</v>
      </c>
      <c r="G1" s="2">
        <f>sum(D2:D9999)</f>
        <v>2550</v>
      </c>
    </row>
    <row r="2">
      <c r="A2" s="9">
        <v>45659.0</v>
      </c>
      <c r="B2" s="6" t="s">
        <v>213</v>
      </c>
      <c r="C2" s="6" t="s">
        <v>216</v>
      </c>
      <c r="D2" s="3">
        <v>650.0</v>
      </c>
      <c r="E2" s="6" t="s">
        <v>106</v>
      </c>
    </row>
    <row r="3">
      <c r="A3" s="9">
        <v>45714.0</v>
      </c>
      <c r="B3" s="6" t="s">
        <v>218</v>
      </c>
      <c r="C3" s="6" t="s">
        <v>216</v>
      </c>
      <c r="D3" s="3">
        <v>850.0</v>
      </c>
      <c r="E3" s="6" t="s">
        <v>106</v>
      </c>
    </row>
    <row r="4">
      <c r="A4" s="65">
        <v>46020.0</v>
      </c>
      <c r="B4" s="6" t="s">
        <v>218</v>
      </c>
      <c r="C4" s="6" t="s">
        <v>216</v>
      </c>
      <c r="D4" s="3">
        <v>400.0</v>
      </c>
      <c r="E4" s="6" t="s">
        <v>106</v>
      </c>
    </row>
    <row r="5" ht="21.75" customHeight="1">
      <c r="A5" s="76">
        <v>46021.0</v>
      </c>
      <c r="B5" s="6" t="s">
        <v>225</v>
      </c>
      <c r="C5" s="6" t="s">
        <v>226</v>
      </c>
      <c r="D5" s="3">
        <v>-400.0</v>
      </c>
      <c r="E5" s="6" t="s">
        <v>106</v>
      </c>
    </row>
    <row r="6">
      <c r="A6" s="9">
        <v>46205.0</v>
      </c>
      <c r="B6" s="6" t="s">
        <v>228</v>
      </c>
      <c r="C6" s="6" t="s">
        <v>216</v>
      </c>
      <c r="D6" s="3">
        <v>1050.0</v>
      </c>
    </row>
    <row r="7">
      <c r="D7" s="2"/>
    </row>
    <row r="8">
      <c r="D8" s="2"/>
    </row>
    <row r="9">
      <c r="D9" s="2"/>
    </row>
    <row r="10">
      <c r="D10" s="2"/>
    </row>
    <row r="11">
      <c r="D11" s="2"/>
    </row>
    <row r="12">
      <c r="D12" s="2"/>
    </row>
    <row r="13">
      <c r="D13" s="2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>
      <c r="D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</cols>
  <sheetData>
    <row r="1">
      <c r="A1" s="76" t="s">
        <v>17</v>
      </c>
      <c r="B1" s="8" t="s">
        <v>4</v>
      </c>
      <c r="C1" s="74" t="s">
        <v>5</v>
      </c>
      <c r="D1" s="72"/>
      <c r="E1" s="72"/>
      <c r="F1" s="72"/>
      <c r="G1" s="72"/>
      <c r="H1" s="8" t="s">
        <v>40</v>
      </c>
      <c r="I1" s="75">
        <f>sum(C3:C14)</f>
        <v>74.4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76">
        <v>45432.0</v>
      </c>
      <c r="B2" s="6" t="s">
        <v>575</v>
      </c>
      <c r="C2" s="3">
        <v>30.0</v>
      </c>
      <c r="F2" s="6" t="s">
        <v>7</v>
      </c>
      <c r="G2" s="2">
        <f>SUM(C2:C1004)</f>
        <v>191.6</v>
      </c>
    </row>
    <row r="3">
      <c r="A3" s="76">
        <v>45659.0</v>
      </c>
      <c r="B3" s="6" t="s">
        <v>576</v>
      </c>
      <c r="C3" s="3">
        <v>4.5</v>
      </c>
      <c r="F3" s="6"/>
    </row>
    <row r="4">
      <c r="A4" s="76">
        <v>45691.0</v>
      </c>
      <c r="B4" s="6" t="s">
        <v>576</v>
      </c>
      <c r="C4" s="3">
        <v>1.8</v>
      </c>
      <c r="F4" s="6"/>
    </row>
    <row r="5">
      <c r="A5" s="76">
        <v>45719.0</v>
      </c>
      <c r="B5" s="6" t="s">
        <v>576</v>
      </c>
      <c r="C5" s="3">
        <v>3.15</v>
      </c>
      <c r="F5" s="6"/>
    </row>
    <row r="6">
      <c r="A6" s="76">
        <v>45748.0</v>
      </c>
      <c r="B6" s="6" t="s">
        <v>576</v>
      </c>
      <c r="C6" s="3">
        <v>0.9</v>
      </c>
    </row>
    <row r="7">
      <c r="A7" s="76">
        <v>45810.0</v>
      </c>
      <c r="B7" s="6" t="s">
        <v>576</v>
      </c>
      <c r="C7" s="3">
        <v>3.15</v>
      </c>
    </row>
    <row r="8">
      <c r="A8" s="76">
        <v>45891.0</v>
      </c>
      <c r="B8" s="6" t="s">
        <v>577</v>
      </c>
      <c r="C8" s="3">
        <v>10.0</v>
      </c>
      <c r="D8" s="6" t="s">
        <v>106</v>
      </c>
    </row>
    <row r="9">
      <c r="A9" s="76">
        <v>45894.0</v>
      </c>
      <c r="B9" s="6" t="s">
        <v>577</v>
      </c>
      <c r="C9" s="3">
        <v>10.0</v>
      </c>
      <c r="D9" s="6" t="s">
        <v>106</v>
      </c>
    </row>
    <row r="10">
      <c r="A10" s="76">
        <v>45966.0</v>
      </c>
      <c r="B10" s="6" t="s">
        <v>577</v>
      </c>
      <c r="C10" s="3">
        <v>10.0</v>
      </c>
      <c r="D10" s="6" t="s">
        <v>106</v>
      </c>
    </row>
    <row r="11">
      <c r="A11" s="76">
        <v>45992.0</v>
      </c>
      <c r="B11" s="6" t="s">
        <v>577</v>
      </c>
      <c r="C11" s="3">
        <v>10.0</v>
      </c>
    </row>
    <row r="12">
      <c r="A12" s="76">
        <v>45992.0</v>
      </c>
      <c r="B12" s="6" t="s">
        <v>576</v>
      </c>
      <c r="C12" s="3">
        <v>0.9</v>
      </c>
    </row>
    <row r="13">
      <c r="A13" s="76">
        <v>46020.0</v>
      </c>
      <c r="B13" s="6" t="s">
        <v>577</v>
      </c>
      <c r="C13" s="3">
        <v>10.0</v>
      </c>
    </row>
    <row r="14">
      <c r="A14" s="76">
        <v>46022.0</v>
      </c>
      <c r="B14" s="6" t="s">
        <v>577</v>
      </c>
      <c r="C14" s="3">
        <v>10.0</v>
      </c>
    </row>
    <row r="15">
      <c r="A15" s="76">
        <v>46085.0</v>
      </c>
      <c r="B15" s="6" t="s">
        <v>575</v>
      </c>
      <c r="C15" s="3">
        <v>30.0</v>
      </c>
    </row>
    <row r="16">
      <c r="A16" s="76">
        <v>46143.0</v>
      </c>
      <c r="B16" s="6" t="s">
        <v>576</v>
      </c>
      <c r="C16" s="3">
        <v>5.85</v>
      </c>
    </row>
    <row r="17">
      <c r="A17" s="76">
        <v>46150.0</v>
      </c>
      <c r="B17" s="6" t="s">
        <v>575</v>
      </c>
      <c r="C17" s="3">
        <v>30.0</v>
      </c>
    </row>
    <row r="18">
      <c r="A18" s="76">
        <v>46174.0</v>
      </c>
      <c r="B18" s="6" t="s">
        <v>576</v>
      </c>
      <c r="C18" s="3">
        <v>1.35</v>
      </c>
    </row>
    <row r="19">
      <c r="A19" s="76">
        <v>46239.0</v>
      </c>
      <c r="B19" s="6" t="s">
        <v>577</v>
      </c>
      <c r="C19" s="3">
        <v>10.0</v>
      </c>
    </row>
    <row r="20">
      <c r="A20" s="76">
        <v>46244.0</v>
      </c>
      <c r="B20" s="6" t="s">
        <v>577</v>
      </c>
      <c r="C20" s="3">
        <v>10.0</v>
      </c>
    </row>
    <row r="21">
      <c r="A21" s="85"/>
      <c r="C21" s="2"/>
    </row>
    <row r="22">
      <c r="A22" s="85"/>
      <c r="C22" s="2"/>
    </row>
    <row r="23">
      <c r="A23" s="85"/>
      <c r="C23" s="2"/>
    </row>
    <row r="24">
      <c r="A24" s="85"/>
      <c r="C24" s="2"/>
    </row>
    <row r="25">
      <c r="A25" s="85"/>
      <c r="C25" s="2"/>
    </row>
    <row r="26">
      <c r="A26" s="85"/>
      <c r="C26" s="2"/>
    </row>
    <row r="27">
      <c r="A27" s="85"/>
      <c r="C27" s="2"/>
    </row>
    <row r="28">
      <c r="A28" s="85"/>
      <c r="C28" s="2"/>
    </row>
    <row r="29">
      <c r="A29" s="85"/>
      <c r="C29" s="2"/>
    </row>
    <row r="30">
      <c r="A30" s="85"/>
      <c r="C30" s="2"/>
    </row>
    <row r="31">
      <c r="A31" s="85"/>
      <c r="C31" s="2"/>
    </row>
    <row r="32">
      <c r="A32" s="85"/>
      <c r="C32" s="2"/>
    </row>
    <row r="33">
      <c r="A33" s="85"/>
      <c r="C33" s="2"/>
    </row>
    <row r="34">
      <c r="A34" s="85"/>
      <c r="C34" s="2"/>
    </row>
    <row r="35">
      <c r="A35" s="85"/>
      <c r="C35" s="2"/>
    </row>
    <row r="36">
      <c r="A36" s="85"/>
      <c r="C36" s="2"/>
    </row>
    <row r="37">
      <c r="A37" s="85"/>
      <c r="C37" s="2"/>
    </row>
    <row r="38">
      <c r="A38" s="85"/>
      <c r="C38" s="2"/>
    </row>
    <row r="39">
      <c r="A39" s="85"/>
      <c r="C39" s="2"/>
    </row>
    <row r="40">
      <c r="A40" s="85"/>
      <c r="C40" s="2"/>
    </row>
    <row r="41">
      <c r="A41" s="85"/>
      <c r="C41" s="2"/>
    </row>
    <row r="42">
      <c r="A42" s="85"/>
      <c r="C42" s="2"/>
    </row>
    <row r="43">
      <c r="A43" s="85"/>
      <c r="C43" s="2"/>
    </row>
    <row r="44">
      <c r="A44" s="85"/>
      <c r="C44" s="2"/>
    </row>
    <row r="45">
      <c r="A45" s="85"/>
      <c r="C45" s="2"/>
    </row>
    <row r="46">
      <c r="A46" s="85"/>
      <c r="C46" s="2"/>
    </row>
    <row r="47">
      <c r="A47" s="85"/>
      <c r="C47" s="2"/>
    </row>
    <row r="48">
      <c r="A48" s="85"/>
      <c r="C48" s="2"/>
    </row>
    <row r="49">
      <c r="A49" s="85"/>
      <c r="C49" s="2"/>
    </row>
    <row r="50">
      <c r="A50" s="85"/>
      <c r="C50" s="2"/>
    </row>
    <row r="51">
      <c r="A51" s="85"/>
      <c r="C51" s="2"/>
    </row>
    <row r="52">
      <c r="A52" s="85"/>
      <c r="C52" s="2"/>
    </row>
    <row r="53">
      <c r="A53" s="85"/>
      <c r="C53" s="2"/>
    </row>
    <row r="54">
      <c r="A54" s="85"/>
      <c r="C54" s="2"/>
    </row>
    <row r="55">
      <c r="A55" s="85"/>
      <c r="C55" s="2"/>
    </row>
    <row r="56">
      <c r="A56" s="85"/>
      <c r="C56" s="2"/>
    </row>
    <row r="57">
      <c r="A57" s="85"/>
      <c r="C57" s="2"/>
    </row>
    <row r="58">
      <c r="A58" s="85"/>
      <c r="C58" s="2"/>
    </row>
    <row r="59">
      <c r="A59" s="85"/>
      <c r="C59" s="2"/>
    </row>
    <row r="60">
      <c r="A60" s="85"/>
      <c r="C60" s="2"/>
    </row>
    <row r="61">
      <c r="A61" s="85"/>
      <c r="C61" s="2"/>
    </row>
    <row r="62">
      <c r="A62" s="85"/>
      <c r="C62" s="2"/>
    </row>
    <row r="63">
      <c r="A63" s="85"/>
      <c r="C63" s="2"/>
    </row>
    <row r="64">
      <c r="A64" s="85"/>
      <c r="C64" s="2"/>
    </row>
    <row r="65">
      <c r="A65" s="85"/>
      <c r="C65" s="2"/>
    </row>
    <row r="66">
      <c r="A66" s="85"/>
      <c r="C66" s="2"/>
    </row>
    <row r="67">
      <c r="A67" s="85"/>
      <c r="C67" s="2"/>
    </row>
    <row r="68">
      <c r="A68" s="85"/>
      <c r="C68" s="2"/>
    </row>
    <row r="69">
      <c r="A69" s="85"/>
      <c r="C69" s="2"/>
    </row>
    <row r="70">
      <c r="A70" s="85"/>
      <c r="C70" s="2"/>
    </row>
    <row r="71">
      <c r="A71" s="85"/>
      <c r="C71" s="2"/>
    </row>
    <row r="72">
      <c r="A72" s="85"/>
      <c r="C72" s="2"/>
    </row>
    <row r="73">
      <c r="A73" s="85"/>
      <c r="C73" s="2"/>
    </row>
    <row r="74">
      <c r="A74" s="85"/>
      <c r="C74" s="2"/>
    </row>
    <row r="75">
      <c r="A75" s="85"/>
      <c r="C75" s="2"/>
    </row>
    <row r="76">
      <c r="A76" s="85"/>
      <c r="C76" s="2"/>
    </row>
    <row r="77">
      <c r="A77" s="85"/>
      <c r="C77" s="2"/>
    </row>
    <row r="78">
      <c r="A78" s="85"/>
      <c r="C78" s="2"/>
    </row>
    <row r="79">
      <c r="A79" s="85"/>
      <c r="C79" s="2"/>
    </row>
    <row r="80">
      <c r="A80" s="85"/>
      <c r="C80" s="2"/>
    </row>
    <row r="81">
      <c r="A81" s="85"/>
      <c r="C81" s="2"/>
    </row>
    <row r="82">
      <c r="A82" s="85"/>
      <c r="C82" s="2"/>
    </row>
    <row r="83">
      <c r="A83" s="85"/>
      <c r="C83" s="2"/>
    </row>
    <row r="84">
      <c r="A84" s="85"/>
      <c r="C84" s="2"/>
    </row>
    <row r="85">
      <c r="A85" s="85"/>
      <c r="C85" s="2"/>
    </row>
    <row r="86">
      <c r="A86" s="85"/>
      <c r="C86" s="2"/>
    </row>
    <row r="87">
      <c r="A87" s="85"/>
      <c r="C87" s="2"/>
    </row>
    <row r="88">
      <c r="A88" s="85"/>
      <c r="C88" s="2"/>
    </row>
    <row r="89">
      <c r="A89" s="85"/>
      <c r="C89" s="2"/>
    </row>
    <row r="90">
      <c r="A90" s="85"/>
      <c r="C90" s="2"/>
    </row>
    <row r="91">
      <c r="A91" s="85"/>
      <c r="C91" s="2"/>
    </row>
    <row r="92">
      <c r="A92" s="85"/>
      <c r="C92" s="2"/>
    </row>
    <row r="93">
      <c r="A93" s="85"/>
      <c r="C93" s="2"/>
    </row>
    <row r="94">
      <c r="A94" s="85"/>
      <c r="C94" s="2"/>
    </row>
    <row r="95">
      <c r="A95" s="85"/>
      <c r="C95" s="2"/>
    </row>
    <row r="96">
      <c r="A96" s="85"/>
      <c r="C96" s="2"/>
    </row>
    <row r="97">
      <c r="A97" s="85"/>
      <c r="C97" s="2"/>
    </row>
    <row r="98">
      <c r="A98" s="85"/>
      <c r="C98" s="2"/>
    </row>
    <row r="99">
      <c r="A99" s="85"/>
      <c r="C99" s="2"/>
    </row>
    <row r="100">
      <c r="A100" s="85"/>
      <c r="C100" s="2"/>
    </row>
    <row r="101">
      <c r="A101" s="85"/>
      <c r="C101" s="2"/>
    </row>
    <row r="102">
      <c r="A102" s="85"/>
      <c r="C102" s="2"/>
    </row>
    <row r="103">
      <c r="A103" s="85"/>
      <c r="C103" s="2"/>
    </row>
    <row r="104">
      <c r="A104" s="85"/>
      <c r="C104" s="2"/>
    </row>
    <row r="105">
      <c r="A105" s="85"/>
      <c r="C105" s="2"/>
    </row>
    <row r="106">
      <c r="A106" s="85"/>
      <c r="C106" s="2"/>
    </row>
    <row r="107">
      <c r="A107" s="85"/>
      <c r="C107" s="2"/>
    </row>
    <row r="108">
      <c r="A108" s="85"/>
      <c r="C108" s="2"/>
    </row>
    <row r="109">
      <c r="A109" s="85"/>
      <c r="C109" s="2"/>
    </row>
    <row r="110">
      <c r="A110" s="85"/>
      <c r="C110" s="2"/>
    </row>
    <row r="111">
      <c r="A111" s="85"/>
      <c r="C111" s="2"/>
    </row>
    <row r="112">
      <c r="A112" s="85"/>
      <c r="C112" s="2"/>
    </row>
    <row r="113">
      <c r="A113" s="85"/>
      <c r="C113" s="2"/>
    </row>
    <row r="114">
      <c r="A114" s="85"/>
      <c r="C114" s="2"/>
    </row>
    <row r="115">
      <c r="A115" s="85"/>
      <c r="C115" s="2"/>
    </row>
    <row r="116">
      <c r="A116" s="85"/>
      <c r="C116" s="2"/>
    </row>
    <row r="117">
      <c r="A117" s="85"/>
      <c r="C117" s="2"/>
    </row>
    <row r="118">
      <c r="A118" s="85"/>
      <c r="C118" s="2"/>
    </row>
    <row r="119">
      <c r="A119" s="85"/>
      <c r="C119" s="2"/>
    </row>
    <row r="120">
      <c r="A120" s="85"/>
      <c r="C120" s="2"/>
    </row>
    <row r="121">
      <c r="A121" s="85"/>
      <c r="C121" s="2"/>
    </row>
    <row r="122">
      <c r="A122" s="85"/>
      <c r="C122" s="2"/>
    </row>
    <row r="123">
      <c r="A123" s="85"/>
      <c r="C123" s="2"/>
    </row>
    <row r="124">
      <c r="A124" s="85"/>
      <c r="C124" s="2"/>
    </row>
    <row r="125">
      <c r="A125" s="85"/>
      <c r="C125" s="2"/>
    </row>
    <row r="126">
      <c r="A126" s="85"/>
      <c r="C126" s="2"/>
    </row>
    <row r="127">
      <c r="A127" s="85"/>
      <c r="C127" s="2"/>
    </row>
    <row r="128">
      <c r="A128" s="85"/>
      <c r="C128" s="2"/>
    </row>
    <row r="129">
      <c r="A129" s="85"/>
      <c r="C129" s="2"/>
    </row>
    <row r="130">
      <c r="A130" s="85"/>
      <c r="C130" s="2"/>
    </row>
    <row r="131">
      <c r="A131" s="85"/>
      <c r="C131" s="2"/>
    </row>
    <row r="132">
      <c r="A132" s="85"/>
      <c r="C132" s="2"/>
    </row>
    <row r="133">
      <c r="A133" s="85"/>
      <c r="C133" s="2"/>
    </row>
    <row r="134">
      <c r="A134" s="85"/>
      <c r="C134" s="2"/>
    </row>
    <row r="135">
      <c r="A135" s="85"/>
      <c r="C135" s="2"/>
    </row>
    <row r="136">
      <c r="A136" s="85"/>
      <c r="C136" s="2"/>
    </row>
    <row r="137">
      <c r="A137" s="85"/>
      <c r="C137" s="2"/>
    </row>
    <row r="138">
      <c r="A138" s="85"/>
      <c r="C138" s="2"/>
    </row>
    <row r="139">
      <c r="A139" s="85"/>
      <c r="C139" s="2"/>
    </row>
    <row r="140">
      <c r="A140" s="85"/>
      <c r="C140" s="2"/>
    </row>
    <row r="141">
      <c r="A141" s="85"/>
      <c r="C141" s="2"/>
    </row>
    <row r="142">
      <c r="A142" s="85"/>
      <c r="C142" s="2"/>
    </row>
    <row r="143">
      <c r="A143" s="85"/>
      <c r="C143" s="2"/>
    </row>
    <row r="144">
      <c r="A144" s="85"/>
      <c r="C144" s="2"/>
    </row>
    <row r="145">
      <c r="A145" s="85"/>
      <c r="C145" s="2"/>
    </row>
    <row r="146">
      <c r="A146" s="85"/>
      <c r="C146" s="2"/>
    </row>
    <row r="147">
      <c r="A147" s="85"/>
      <c r="C147" s="2"/>
    </row>
    <row r="148">
      <c r="A148" s="85"/>
      <c r="C148" s="2"/>
    </row>
    <row r="149">
      <c r="A149" s="85"/>
      <c r="C149" s="2"/>
    </row>
    <row r="150">
      <c r="A150" s="85"/>
      <c r="C150" s="2"/>
    </row>
    <row r="151">
      <c r="A151" s="85"/>
      <c r="C151" s="2"/>
    </row>
    <row r="152">
      <c r="A152" s="85"/>
      <c r="C152" s="2"/>
    </row>
    <row r="153">
      <c r="A153" s="85"/>
      <c r="C153" s="2"/>
    </row>
    <row r="154">
      <c r="A154" s="85"/>
      <c r="C154" s="2"/>
    </row>
    <row r="155">
      <c r="A155" s="85"/>
      <c r="C155" s="2"/>
    </row>
    <row r="156">
      <c r="A156" s="85"/>
      <c r="C156" s="2"/>
    </row>
    <row r="157">
      <c r="A157" s="85"/>
      <c r="C157" s="2"/>
    </row>
    <row r="158">
      <c r="A158" s="85"/>
      <c r="C158" s="2"/>
    </row>
    <row r="159">
      <c r="A159" s="85"/>
      <c r="C159" s="2"/>
    </row>
    <row r="160">
      <c r="A160" s="85"/>
      <c r="C160" s="2"/>
    </row>
    <row r="161">
      <c r="A161" s="85"/>
      <c r="C161" s="2"/>
    </row>
    <row r="162">
      <c r="A162" s="85"/>
      <c r="C162" s="2"/>
    </row>
    <row r="163">
      <c r="A163" s="85"/>
      <c r="C163" s="2"/>
    </row>
    <row r="164">
      <c r="A164" s="85"/>
      <c r="C164" s="2"/>
    </row>
    <row r="165">
      <c r="A165" s="85"/>
      <c r="C165" s="2"/>
    </row>
    <row r="166">
      <c r="A166" s="85"/>
      <c r="C166" s="2"/>
    </row>
    <row r="167">
      <c r="A167" s="85"/>
      <c r="C167" s="2"/>
    </row>
    <row r="168">
      <c r="A168" s="85"/>
      <c r="C168" s="2"/>
    </row>
    <row r="169">
      <c r="A169" s="85"/>
      <c r="C169" s="2"/>
    </row>
    <row r="170">
      <c r="A170" s="85"/>
      <c r="C170" s="2"/>
    </row>
    <row r="171">
      <c r="A171" s="85"/>
      <c r="C171" s="2"/>
    </row>
    <row r="172">
      <c r="A172" s="85"/>
      <c r="C172" s="2"/>
    </row>
    <row r="173">
      <c r="A173" s="85"/>
      <c r="C173" s="2"/>
    </row>
    <row r="174">
      <c r="A174" s="85"/>
      <c r="C174" s="2"/>
    </row>
    <row r="175">
      <c r="A175" s="85"/>
      <c r="C175" s="2"/>
    </row>
    <row r="176">
      <c r="A176" s="85"/>
      <c r="C176" s="2"/>
    </row>
    <row r="177">
      <c r="A177" s="85"/>
      <c r="C177" s="2"/>
    </row>
    <row r="178">
      <c r="A178" s="85"/>
      <c r="C178" s="2"/>
    </row>
    <row r="179">
      <c r="A179" s="85"/>
      <c r="C179" s="2"/>
    </row>
    <row r="180">
      <c r="A180" s="85"/>
      <c r="C180" s="2"/>
    </row>
    <row r="181">
      <c r="A181" s="85"/>
      <c r="C181" s="2"/>
    </row>
    <row r="182">
      <c r="A182" s="85"/>
      <c r="C182" s="2"/>
    </row>
    <row r="183">
      <c r="A183" s="85"/>
      <c r="C183" s="2"/>
    </row>
    <row r="184">
      <c r="A184" s="85"/>
      <c r="C184" s="2"/>
    </row>
    <row r="185">
      <c r="A185" s="85"/>
      <c r="C185" s="2"/>
    </row>
    <row r="186">
      <c r="A186" s="85"/>
      <c r="C186" s="2"/>
    </row>
    <row r="187">
      <c r="A187" s="85"/>
      <c r="C187" s="2"/>
    </row>
    <row r="188">
      <c r="A188" s="85"/>
      <c r="C188" s="2"/>
    </row>
    <row r="189">
      <c r="A189" s="85"/>
      <c r="C189" s="2"/>
    </row>
    <row r="190">
      <c r="A190" s="85"/>
      <c r="C190" s="2"/>
    </row>
    <row r="191">
      <c r="A191" s="85"/>
      <c r="C191" s="2"/>
    </row>
    <row r="192">
      <c r="A192" s="85"/>
      <c r="C192" s="2"/>
    </row>
    <row r="193">
      <c r="A193" s="85"/>
      <c r="C193" s="2"/>
    </row>
    <row r="194">
      <c r="A194" s="85"/>
      <c r="C194" s="2"/>
    </row>
    <row r="195">
      <c r="A195" s="85"/>
      <c r="C195" s="2"/>
    </row>
    <row r="196">
      <c r="A196" s="85"/>
      <c r="C196" s="2"/>
    </row>
    <row r="197">
      <c r="A197" s="85"/>
      <c r="C197" s="2"/>
    </row>
    <row r="198">
      <c r="A198" s="85"/>
      <c r="C198" s="2"/>
    </row>
    <row r="199">
      <c r="A199" s="85"/>
      <c r="C199" s="2"/>
    </row>
    <row r="200">
      <c r="A200" s="85"/>
      <c r="C200" s="2"/>
    </row>
    <row r="201">
      <c r="A201" s="85"/>
      <c r="C201" s="2"/>
    </row>
    <row r="202">
      <c r="A202" s="85"/>
      <c r="C202" s="2"/>
    </row>
    <row r="203">
      <c r="A203" s="85"/>
      <c r="C203" s="2"/>
    </row>
    <row r="204">
      <c r="A204" s="85"/>
      <c r="C204" s="2"/>
    </row>
    <row r="205">
      <c r="A205" s="85"/>
      <c r="C205" s="2"/>
    </row>
    <row r="206">
      <c r="A206" s="85"/>
      <c r="C206" s="2"/>
    </row>
    <row r="207">
      <c r="A207" s="85"/>
      <c r="C207" s="2"/>
    </row>
    <row r="208">
      <c r="A208" s="85"/>
      <c r="C208" s="2"/>
    </row>
    <row r="209">
      <c r="A209" s="85"/>
      <c r="C209" s="2"/>
    </row>
    <row r="210">
      <c r="A210" s="85"/>
      <c r="C210" s="2"/>
    </row>
    <row r="211">
      <c r="A211" s="85"/>
      <c r="C211" s="2"/>
    </row>
    <row r="212">
      <c r="A212" s="85"/>
      <c r="C212" s="2"/>
    </row>
    <row r="213">
      <c r="A213" s="85"/>
      <c r="C213" s="2"/>
    </row>
    <row r="214">
      <c r="A214" s="85"/>
      <c r="C214" s="2"/>
    </row>
    <row r="215">
      <c r="A215" s="85"/>
      <c r="C215" s="2"/>
    </row>
    <row r="216">
      <c r="A216" s="85"/>
      <c r="C216" s="2"/>
    </row>
    <row r="217">
      <c r="A217" s="85"/>
      <c r="C217" s="2"/>
    </row>
    <row r="218">
      <c r="A218" s="85"/>
      <c r="C218" s="2"/>
    </row>
    <row r="219">
      <c r="A219" s="85"/>
      <c r="C219" s="2"/>
    </row>
    <row r="220">
      <c r="A220" s="85"/>
      <c r="C220" s="2"/>
    </row>
    <row r="221">
      <c r="A221" s="85"/>
      <c r="C221" s="2"/>
    </row>
    <row r="222">
      <c r="A222" s="85"/>
      <c r="C222" s="2"/>
    </row>
    <row r="223">
      <c r="A223" s="85"/>
      <c r="C223" s="2"/>
    </row>
    <row r="224">
      <c r="A224" s="85"/>
      <c r="C224" s="2"/>
    </row>
    <row r="225">
      <c r="A225" s="85"/>
      <c r="C225" s="2"/>
    </row>
    <row r="226">
      <c r="A226" s="85"/>
      <c r="C226" s="2"/>
    </row>
    <row r="227">
      <c r="A227" s="85"/>
      <c r="C227" s="2"/>
    </row>
    <row r="228">
      <c r="A228" s="85"/>
      <c r="C228" s="2"/>
    </row>
    <row r="229">
      <c r="A229" s="85"/>
      <c r="C229" s="2"/>
    </row>
    <row r="230">
      <c r="A230" s="85"/>
      <c r="C230" s="2"/>
    </row>
    <row r="231">
      <c r="A231" s="85"/>
      <c r="C231" s="2"/>
    </row>
    <row r="232">
      <c r="A232" s="85"/>
      <c r="C232" s="2"/>
    </row>
    <row r="233">
      <c r="A233" s="85"/>
      <c r="C233" s="2"/>
    </row>
    <row r="234">
      <c r="A234" s="85"/>
      <c r="C234" s="2"/>
    </row>
    <row r="235">
      <c r="A235" s="85"/>
      <c r="C235" s="2"/>
    </row>
    <row r="236">
      <c r="A236" s="85"/>
      <c r="C236" s="2"/>
    </row>
    <row r="237">
      <c r="A237" s="85"/>
      <c r="C237" s="2"/>
    </row>
    <row r="238">
      <c r="A238" s="85"/>
      <c r="C238" s="2"/>
    </row>
    <row r="239">
      <c r="A239" s="85"/>
      <c r="C239" s="2"/>
    </row>
    <row r="240">
      <c r="A240" s="85"/>
      <c r="C240" s="2"/>
    </row>
    <row r="241">
      <c r="A241" s="85"/>
      <c r="C241" s="2"/>
    </row>
    <row r="242">
      <c r="A242" s="85"/>
      <c r="C242" s="2"/>
    </row>
    <row r="243">
      <c r="A243" s="85"/>
      <c r="C243" s="2"/>
    </row>
    <row r="244">
      <c r="A244" s="85"/>
      <c r="C244" s="2"/>
    </row>
    <row r="245">
      <c r="A245" s="85"/>
      <c r="C245" s="2"/>
    </row>
    <row r="246">
      <c r="A246" s="85"/>
      <c r="C246" s="2"/>
    </row>
    <row r="247">
      <c r="A247" s="85"/>
      <c r="C247" s="2"/>
    </row>
    <row r="248">
      <c r="A248" s="85"/>
      <c r="C248" s="2"/>
    </row>
    <row r="249">
      <c r="A249" s="85"/>
      <c r="C249" s="2"/>
    </row>
    <row r="250">
      <c r="A250" s="85"/>
      <c r="C250" s="2"/>
    </row>
    <row r="251">
      <c r="A251" s="85"/>
      <c r="C251" s="2"/>
    </row>
    <row r="252">
      <c r="A252" s="85"/>
      <c r="C252" s="2"/>
    </row>
    <row r="253">
      <c r="A253" s="85"/>
      <c r="C253" s="2"/>
    </row>
    <row r="254">
      <c r="A254" s="85"/>
      <c r="C254" s="2"/>
    </row>
    <row r="255">
      <c r="A255" s="85"/>
      <c r="C255" s="2"/>
    </row>
    <row r="256">
      <c r="A256" s="85"/>
      <c r="C256" s="2"/>
    </row>
    <row r="257">
      <c r="A257" s="85"/>
      <c r="C257" s="2"/>
    </row>
    <row r="258">
      <c r="A258" s="85"/>
      <c r="C258" s="2"/>
    </row>
    <row r="259">
      <c r="A259" s="85"/>
      <c r="C259" s="2"/>
    </row>
    <row r="260">
      <c r="A260" s="85"/>
      <c r="C260" s="2"/>
    </row>
    <row r="261">
      <c r="A261" s="85"/>
      <c r="C261" s="2"/>
    </row>
    <row r="262">
      <c r="A262" s="85"/>
      <c r="C262" s="2"/>
    </row>
    <row r="263">
      <c r="A263" s="85"/>
      <c r="C263" s="2"/>
    </row>
    <row r="264">
      <c r="A264" s="85"/>
      <c r="C264" s="2"/>
    </row>
    <row r="265">
      <c r="A265" s="85"/>
      <c r="C265" s="2"/>
    </row>
    <row r="266">
      <c r="A266" s="85"/>
      <c r="C266" s="2"/>
    </row>
    <row r="267">
      <c r="A267" s="85"/>
      <c r="C267" s="2"/>
    </row>
    <row r="268">
      <c r="A268" s="85"/>
      <c r="C268" s="2"/>
    </row>
    <row r="269">
      <c r="A269" s="85"/>
      <c r="C269" s="2"/>
    </row>
    <row r="270">
      <c r="A270" s="85"/>
      <c r="C270" s="2"/>
    </row>
    <row r="271">
      <c r="A271" s="85"/>
      <c r="C271" s="2"/>
    </row>
    <row r="272">
      <c r="A272" s="85"/>
      <c r="C272" s="2"/>
    </row>
    <row r="273">
      <c r="A273" s="85"/>
      <c r="C273" s="2"/>
    </row>
    <row r="274">
      <c r="A274" s="85"/>
      <c r="C274" s="2"/>
    </row>
    <row r="275">
      <c r="A275" s="85"/>
      <c r="C275" s="2"/>
    </row>
    <row r="276">
      <c r="A276" s="85"/>
      <c r="C276" s="2"/>
    </row>
    <row r="277">
      <c r="A277" s="85"/>
      <c r="C277" s="2"/>
    </row>
    <row r="278">
      <c r="A278" s="85"/>
      <c r="C278" s="2"/>
    </row>
    <row r="279">
      <c r="A279" s="85"/>
      <c r="C279" s="2"/>
    </row>
    <row r="280">
      <c r="A280" s="85"/>
      <c r="C280" s="2"/>
    </row>
    <row r="281">
      <c r="A281" s="85"/>
      <c r="C281" s="2"/>
    </row>
    <row r="282">
      <c r="A282" s="85"/>
      <c r="C282" s="2"/>
    </row>
    <row r="283">
      <c r="A283" s="85"/>
      <c r="C283" s="2"/>
    </row>
    <row r="284">
      <c r="A284" s="85"/>
      <c r="C284" s="2"/>
    </row>
    <row r="285">
      <c r="A285" s="85"/>
      <c r="C285" s="2"/>
    </row>
    <row r="286">
      <c r="A286" s="85"/>
      <c r="C286" s="2"/>
    </row>
    <row r="287">
      <c r="A287" s="85"/>
      <c r="C287" s="2"/>
    </row>
    <row r="288">
      <c r="A288" s="85"/>
      <c r="C288" s="2"/>
    </row>
    <row r="289">
      <c r="A289" s="85"/>
      <c r="C289" s="2"/>
    </row>
    <row r="290">
      <c r="A290" s="85"/>
      <c r="C290" s="2"/>
    </row>
    <row r="291">
      <c r="A291" s="85"/>
      <c r="C291" s="2"/>
    </row>
    <row r="292">
      <c r="A292" s="85"/>
      <c r="C292" s="2"/>
    </row>
    <row r="293">
      <c r="A293" s="85"/>
      <c r="C293" s="2"/>
    </row>
    <row r="294">
      <c r="A294" s="85"/>
      <c r="C294" s="2"/>
    </row>
    <row r="295">
      <c r="A295" s="85"/>
      <c r="C295" s="2"/>
    </row>
    <row r="296">
      <c r="A296" s="85"/>
      <c r="C296" s="2"/>
    </row>
    <row r="297">
      <c r="A297" s="85"/>
      <c r="C297" s="2"/>
    </row>
    <row r="298">
      <c r="A298" s="85"/>
      <c r="C298" s="2"/>
    </row>
    <row r="299">
      <c r="A299" s="85"/>
      <c r="C299" s="2"/>
    </row>
    <row r="300">
      <c r="A300" s="85"/>
      <c r="C300" s="2"/>
    </row>
    <row r="301">
      <c r="A301" s="85"/>
      <c r="C301" s="2"/>
    </row>
    <row r="302">
      <c r="A302" s="85"/>
      <c r="C302" s="2"/>
    </row>
    <row r="303">
      <c r="A303" s="85"/>
      <c r="C303" s="2"/>
    </row>
    <row r="304">
      <c r="A304" s="85"/>
      <c r="C304" s="2"/>
    </row>
    <row r="305">
      <c r="A305" s="85"/>
      <c r="C305" s="2"/>
    </row>
    <row r="306">
      <c r="A306" s="85"/>
      <c r="C306" s="2"/>
    </row>
    <row r="307">
      <c r="A307" s="85"/>
      <c r="C307" s="2"/>
    </row>
    <row r="308">
      <c r="A308" s="85"/>
      <c r="C308" s="2"/>
    </row>
    <row r="309">
      <c r="A309" s="85"/>
      <c r="C309" s="2"/>
    </row>
    <row r="310">
      <c r="A310" s="85"/>
      <c r="C310" s="2"/>
    </row>
    <row r="311">
      <c r="A311" s="85"/>
      <c r="C311" s="2"/>
    </row>
    <row r="312">
      <c r="A312" s="85"/>
      <c r="C312" s="2"/>
    </row>
    <row r="313">
      <c r="A313" s="85"/>
      <c r="C313" s="2"/>
    </row>
    <row r="314">
      <c r="A314" s="85"/>
      <c r="C314" s="2"/>
    </row>
    <row r="315">
      <c r="A315" s="85"/>
      <c r="C315" s="2"/>
    </row>
    <row r="316">
      <c r="A316" s="85"/>
      <c r="C316" s="2"/>
    </row>
    <row r="317">
      <c r="A317" s="85"/>
      <c r="C317" s="2"/>
    </row>
    <row r="318">
      <c r="A318" s="85"/>
      <c r="C318" s="2"/>
    </row>
    <row r="319">
      <c r="A319" s="85"/>
      <c r="C319" s="2"/>
    </row>
    <row r="320">
      <c r="A320" s="85"/>
      <c r="C320" s="2"/>
    </row>
    <row r="321">
      <c r="A321" s="85"/>
      <c r="C321" s="2"/>
    </row>
    <row r="322">
      <c r="A322" s="85"/>
      <c r="C322" s="2"/>
    </row>
    <row r="323">
      <c r="A323" s="85"/>
      <c r="C323" s="2"/>
    </row>
    <row r="324">
      <c r="A324" s="85"/>
      <c r="C324" s="2"/>
    </row>
    <row r="325">
      <c r="A325" s="85"/>
      <c r="C325" s="2"/>
    </row>
    <row r="326">
      <c r="A326" s="85"/>
      <c r="C326" s="2"/>
    </row>
    <row r="327">
      <c r="A327" s="85"/>
      <c r="C327" s="2"/>
    </row>
    <row r="328">
      <c r="A328" s="85"/>
      <c r="C328" s="2"/>
    </row>
    <row r="329">
      <c r="A329" s="85"/>
      <c r="C329" s="2"/>
    </row>
    <row r="330">
      <c r="A330" s="85"/>
      <c r="C330" s="2"/>
    </row>
    <row r="331">
      <c r="A331" s="85"/>
      <c r="C331" s="2"/>
    </row>
    <row r="332">
      <c r="A332" s="85"/>
      <c r="C332" s="2"/>
    </row>
    <row r="333">
      <c r="A333" s="85"/>
      <c r="C333" s="2"/>
    </row>
    <row r="334">
      <c r="A334" s="85"/>
      <c r="C334" s="2"/>
    </row>
    <row r="335">
      <c r="A335" s="85"/>
      <c r="C335" s="2"/>
    </row>
    <row r="336">
      <c r="A336" s="85"/>
      <c r="C336" s="2"/>
    </row>
    <row r="337">
      <c r="A337" s="85"/>
      <c r="C337" s="2"/>
    </row>
    <row r="338">
      <c r="A338" s="85"/>
      <c r="C338" s="2"/>
    </row>
    <row r="339">
      <c r="A339" s="85"/>
      <c r="C339" s="2"/>
    </row>
    <row r="340">
      <c r="A340" s="85"/>
      <c r="C340" s="2"/>
    </row>
    <row r="341">
      <c r="A341" s="85"/>
      <c r="C341" s="2"/>
    </row>
    <row r="342">
      <c r="A342" s="85"/>
      <c r="C342" s="2"/>
    </row>
    <row r="343">
      <c r="A343" s="85"/>
      <c r="C343" s="2"/>
    </row>
    <row r="344">
      <c r="A344" s="85"/>
      <c r="C344" s="2"/>
    </row>
    <row r="345">
      <c r="A345" s="85"/>
      <c r="C345" s="2"/>
    </row>
    <row r="346">
      <c r="A346" s="85"/>
      <c r="C346" s="2"/>
    </row>
    <row r="347">
      <c r="A347" s="85"/>
      <c r="C347" s="2"/>
    </row>
    <row r="348">
      <c r="A348" s="85"/>
      <c r="C348" s="2"/>
    </row>
    <row r="349">
      <c r="A349" s="85"/>
      <c r="C349" s="2"/>
    </row>
    <row r="350">
      <c r="A350" s="85"/>
      <c r="C350" s="2"/>
    </row>
    <row r="351">
      <c r="A351" s="85"/>
      <c r="C351" s="2"/>
    </row>
    <row r="352">
      <c r="A352" s="85"/>
      <c r="C352" s="2"/>
    </row>
    <row r="353">
      <c r="A353" s="85"/>
      <c r="C353" s="2"/>
    </row>
    <row r="354">
      <c r="A354" s="85"/>
      <c r="C354" s="2"/>
    </row>
    <row r="355">
      <c r="A355" s="85"/>
      <c r="C355" s="2"/>
    </row>
    <row r="356">
      <c r="A356" s="85"/>
      <c r="C356" s="2"/>
    </row>
    <row r="357">
      <c r="A357" s="85"/>
      <c r="C357" s="2"/>
    </row>
    <row r="358">
      <c r="A358" s="85"/>
      <c r="C358" s="2"/>
    </row>
    <row r="359">
      <c r="A359" s="85"/>
      <c r="C359" s="2"/>
    </row>
    <row r="360">
      <c r="A360" s="85"/>
      <c r="C360" s="2"/>
    </row>
    <row r="361">
      <c r="A361" s="85"/>
      <c r="C361" s="2"/>
    </row>
    <row r="362">
      <c r="A362" s="85"/>
      <c r="C362" s="2"/>
    </row>
    <row r="363">
      <c r="A363" s="85"/>
      <c r="C363" s="2"/>
    </row>
    <row r="364">
      <c r="A364" s="85"/>
      <c r="C364" s="2"/>
    </row>
    <row r="365">
      <c r="A365" s="85"/>
      <c r="C365" s="2"/>
    </row>
    <row r="366">
      <c r="A366" s="85"/>
      <c r="C366" s="2"/>
    </row>
    <row r="367">
      <c r="A367" s="85"/>
      <c r="C367" s="2"/>
    </row>
    <row r="368">
      <c r="A368" s="85"/>
      <c r="C368" s="2"/>
    </row>
    <row r="369">
      <c r="A369" s="85"/>
      <c r="C369" s="2"/>
    </row>
    <row r="370">
      <c r="A370" s="85"/>
      <c r="C370" s="2"/>
    </row>
    <row r="371">
      <c r="A371" s="85"/>
      <c r="C371" s="2"/>
    </row>
    <row r="372">
      <c r="A372" s="85"/>
      <c r="C372" s="2"/>
    </row>
    <row r="373">
      <c r="A373" s="85"/>
      <c r="C373" s="2"/>
    </row>
    <row r="374">
      <c r="A374" s="85"/>
      <c r="C374" s="2"/>
    </row>
    <row r="375">
      <c r="A375" s="85"/>
      <c r="C375" s="2"/>
    </row>
    <row r="376">
      <c r="A376" s="85"/>
      <c r="C376" s="2"/>
    </row>
    <row r="377">
      <c r="A377" s="85"/>
      <c r="C377" s="2"/>
    </row>
    <row r="378">
      <c r="A378" s="85"/>
      <c r="C378" s="2"/>
    </row>
    <row r="379">
      <c r="A379" s="85"/>
      <c r="C379" s="2"/>
    </row>
    <row r="380">
      <c r="A380" s="85"/>
      <c r="C380" s="2"/>
    </row>
    <row r="381">
      <c r="A381" s="85"/>
      <c r="C381" s="2"/>
    </row>
    <row r="382">
      <c r="A382" s="85"/>
      <c r="C382" s="2"/>
    </row>
    <row r="383">
      <c r="A383" s="85"/>
      <c r="C383" s="2"/>
    </row>
    <row r="384">
      <c r="A384" s="85"/>
      <c r="C384" s="2"/>
    </row>
    <row r="385">
      <c r="A385" s="85"/>
      <c r="C385" s="2"/>
    </row>
    <row r="386">
      <c r="A386" s="85"/>
      <c r="C386" s="2"/>
    </row>
    <row r="387">
      <c r="A387" s="85"/>
      <c r="C387" s="2"/>
    </row>
    <row r="388">
      <c r="A388" s="85"/>
      <c r="C388" s="2"/>
    </row>
    <row r="389">
      <c r="A389" s="85"/>
      <c r="C389" s="2"/>
    </row>
    <row r="390">
      <c r="A390" s="85"/>
      <c r="C390" s="2"/>
    </row>
    <row r="391">
      <c r="A391" s="85"/>
      <c r="C391" s="2"/>
    </row>
    <row r="392">
      <c r="A392" s="85"/>
      <c r="C392" s="2"/>
    </row>
    <row r="393">
      <c r="A393" s="85"/>
      <c r="C393" s="2"/>
    </row>
    <row r="394">
      <c r="A394" s="85"/>
      <c r="C394" s="2"/>
    </row>
    <row r="395">
      <c r="A395" s="85"/>
      <c r="C395" s="2"/>
    </row>
    <row r="396">
      <c r="A396" s="85"/>
      <c r="C396" s="2"/>
    </row>
    <row r="397">
      <c r="A397" s="85"/>
      <c r="C397" s="2"/>
    </row>
    <row r="398">
      <c r="A398" s="85"/>
      <c r="C398" s="2"/>
    </row>
    <row r="399">
      <c r="A399" s="85"/>
      <c r="C399" s="2"/>
    </row>
    <row r="400">
      <c r="A400" s="85"/>
      <c r="C400" s="2"/>
    </row>
    <row r="401">
      <c r="A401" s="85"/>
      <c r="C401" s="2"/>
    </row>
    <row r="402">
      <c r="A402" s="85"/>
      <c r="C402" s="2"/>
    </row>
    <row r="403">
      <c r="A403" s="85"/>
      <c r="C403" s="2"/>
    </row>
    <row r="404">
      <c r="A404" s="85"/>
      <c r="C404" s="2"/>
    </row>
    <row r="405">
      <c r="A405" s="85"/>
      <c r="C405" s="2"/>
    </row>
    <row r="406">
      <c r="A406" s="85"/>
      <c r="C406" s="2"/>
    </row>
    <row r="407">
      <c r="A407" s="85"/>
      <c r="C407" s="2"/>
    </row>
    <row r="408">
      <c r="A408" s="85"/>
      <c r="C408" s="2"/>
    </row>
    <row r="409">
      <c r="A409" s="85"/>
      <c r="C409" s="2"/>
    </row>
    <row r="410">
      <c r="A410" s="85"/>
      <c r="C410" s="2"/>
    </row>
    <row r="411">
      <c r="A411" s="85"/>
      <c r="C411" s="2"/>
    </row>
    <row r="412">
      <c r="A412" s="85"/>
      <c r="C412" s="2"/>
    </row>
    <row r="413">
      <c r="A413" s="85"/>
      <c r="C413" s="2"/>
    </row>
    <row r="414">
      <c r="A414" s="85"/>
      <c r="C414" s="2"/>
    </row>
    <row r="415">
      <c r="A415" s="85"/>
      <c r="C415" s="2"/>
    </row>
    <row r="416">
      <c r="A416" s="85"/>
      <c r="C416" s="2"/>
    </row>
    <row r="417">
      <c r="A417" s="85"/>
      <c r="C417" s="2"/>
    </row>
    <row r="418">
      <c r="A418" s="85"/>
      <c r="C418" s="2"/>
    </row>
    <row r="419">
      <c r="A419" s="85"/>
      <c r="C419" s="2"/>
    </row>
    <row r="420">
      <c r="A420" s="85"/>
      <c r="C420" s="2"/>
    </row>
    <row r="421">
      <c r="A421" s="85"/>
      <c r="C421" s="2"/>
    </row>
    <row r="422">
      <c r="A422" s="85"/>
      <c r="C422" s="2"/>
    </row>
    <row r="423">
      <c r="A423" s="85"/>
      <c r="C423" s="2"/>
    </row>
    <row r="424">
      <c r="A424" s="85"/>
      <c r="C424" s="2"/>
    </row>
    <row r="425">
      <c r="A425" s="85"/>
      <c r="C425" s="2"/>
    </row>
    <row r="426">
      <c r="A426" s="85"/>
      <c r="C426" s="2"/>
    </row>
    <row r="427">
      <c r="A427" s="85"/>
      <c r="C427" s="2"/>
    </row>
    <row r="428">
      <c r="A428" s="85"/>
      <c r="C428" s="2"/>
    </row>
    <row r="429">
      <c r="A429" s="85"/>
      <c r="C429" s="2"/>
    </row>
    <row r="430">
      <c r="A430" s="85"/>
      <c r="C430" s="2"/>
    </row>
    <row r="431">
      <c r="A431" s="85"/>
      <c r="C431" s="2"/>
    </row>
    <row r="432">
      <c r="A432" s="85"/>
      <c r="C432" s="2"/>
    </row>
    <row r="433">
      <c r="A433" s="85"/>
      <c r="C433" s="2"/>
    </row>
    <row r="434">
      <c r="A434" s="85"/>
      <c r="C434" s="2"/>
    </row>
    <row r="435">
      <c r="A435" s="85"/>
      <c r="C435" s="2"/>
    </row>
    <row r="436">
      <c r="A436" s="85"/>
      <c r="C436" s="2"/>
    </row>
    <row r="437">
      <c r="A437" s="85"/>
      <c r="C437" s="2"/>
    </row>
    <row r="438">
      <c r="A438" s="85"/>
      <c r="C438" s="2"/>
    </row>
    <row r="439">
      <c r="A439" s="85"/>
      <c r="C439" s="2"/>
    </row>
    <row r="440">
      <c r="A440" s="85"/>
      <c r="C440" s="2"/>
    </row>
    <row r="441">
      <c r="A441" s="85"/>
      <c r="C441" s="2"/>
    </row>
    <row r="442">
      <c r="A442" s="85"/>
      <c r="C442" s="2"/>
    </row>
    <row r="443">
      <c r="A443" s="85"/>
      <c r="C443" s="2"/>
    </row>
    <row r="444">
      <c r="A444" s="85"/>
      <c r="C444" s="2"/>
    </row>
    <row r="445">
      <c r="A445" s="85"/>
      <c r="C445" s="2"/>
    </row>
    <row r="446">
      <c r="A446" s="85"/>
      <c r="C446" s="2"/>
    </row>
    <row r="447">
      <c r="A447" s="85"/>
      <c r="C447" s="2"/>
    </row>
    <row r="448">
      <c r="A448" s="85"/>
      <c r="C448" s="2"/>
    </row>
    <row r="449">
      <c r="A449" s="85"/>
      <c r="C449" s="2"/>
    </row>
    <row r="450">
      <c r="A450" s="85"/>
      <c r="C450" s="2"/>
    </row>
    <row r="451">
      <c r="A451" s="85"/>
      <c r="C451" s="2"/>
    </row>
    <row r="452">
      <c r="A452" s="85"/>
      <c r="C452" s="2"/>
    </row>
    <row r="453">
      <c r="A453" s="85"/>
      <c r="C453" s="2"/>
    </row>
    <row r="454">
      <c r="A454" s="85"/>
      <c r="C454" s="2"/>
    </row>
    <row r="455">
      <c r="A455" s="85"/>
      <c r="C455" s="2"/>
    </row>
    <row r="456">
      <c r="A456" s="85"/>
      <c r="C456" s="2"/>
    </row>
    <row r="457">
      <c r="A457" s="85"/>
      <c r="C457" s="2"/>
    </row>
    <row r="458">
      <c r="A458" s="85"/>
      <c r="C458" s="2"/>
    </row>
    <row r="459">
      <c r="A459" s="85"/>
      <c r="C459" s="2"/>
    </row>
    <row r="460">
      <c r="A460" s="85"/>
      <c r="C460" s="2"/>
    </row>
    <row r="461">
      <c r="A461" s="85"/>
      <c r="C461" s="2"/>
    </row>
    <row r="462">
      <c r="A462" s="85"/>
      <c r="C462" s="2"/>
    </row>
    <row r="463">
      <c r="A463" s="85"/>
      <c r="C463" s="2"/>
    </row>
    <row r="464">
      <c r="A464" s="85"/>
      <c r="C464" s="2"/>
    </row>
    <row r="465">
      <c r="A465" s="85"/>
      <c r="C465" s="2"/>
    </row>
    <row r="466">
      <c r="A466" s="85"/>
      <c r="C466" s="2"/>
    </row>
    <row r="467">
      <c r="A467" s="85"/>
      <c r="C467" s="2"/>
    </row>
    <row r="468">
      <c r="A468" s="85"/>
      <c r="C468" s="2"/>
    </row>
    <row r="469">
      <c r="A469" s="85"/>
      <c r="C469" s="2"/>
    </row>
    <row r="470">
      <c r="A470" s="85"/>
      <c r="C470" s="2"/>
    </row>
    <row r="471">
      <c r="A471" s="85"/>
      <c r="C471" s="2"/>
    </row>
    <row r="472">
      <c r="A472" s="85"/>
      <c r="C472" s="2"/>
    </row>
    <row r="473">
      <c r="A473" s="85"/>
      <c r="C473" s="2"/>
    </row>
    <row r="474">
      <c r="A474" s="85"/>
      <c r="C474" s="2"/>
    </row>
    <row r="475">
      <c r="A475" s="85"/>
      <c r="C475" s="2"/>
    </row>
    <row r="476">
      <c r="A476" s="85"/>
      <c r="C476" s="2"/>
    </row>
    <row r="477">
      <c r="A477" s="85"/>
      <c r="C477" s="2"/>
    </row>
    <row r="478">
      <c r="A478" s="85"/>
      <c r="C478" s="2"/>
    </row>
    <row r="479">
      <c r="A479" s="85"/>
      <c r="C479" s="2"/>
    </row>
    <row r="480">
      <c r="A480" s="85"/>
      <c r="C480" s="2"/>
    </row>
    <row r="481">
      <c r="A481" s="85"/>
      <c r="C481" s="2"/>
    </row>
    <row r="482">
      <c r="A482" s="85"/>
      <c r="C482" s="2"/>
    </row>
    <row r="483">
      <c r="A483" s="85"/>
      <c r="C483" s="2"/>
    </row>
    <row r="484">
      <c r="A484" s="85"/>
      <c r="C484" s="2"/>
    </row>
    <row r="485">
      <c r="A485" s="85"/>
      <c r="C485" s="2"/>
    </row>
    <row r="486">
      <c r="A486" s="85"/>
      <c r="C486" s="2"/>
    </row>
    <row r="487">
      <c r="A487" s="85"/>
      <c r="C487" s="2"/>
    </row>
    <row r="488">
      <c r="A488" s="85"/>
      <c r="C488" s="2"/>
    </row>
    <row r="489">
      <c r="A489" s="85"/>
      <c r="C489" s="2"/>
    </row>
    <row r="490">
      <c r="A490" s="85"/>
      <c r="C490" s="2"/>
    </row>
    <row r="491">
      <c r="A491" s="85"/>
      <c r="C491" s="2"/>
    </row>
    <row r="492">
      <c r="A492" s="85"/>
      <c r="C492" s="2"/>
    </row>
    <row r="493">
      <c r="A493" s="85"/>
      <c r="C493" s="2"/>
    </row>
    <row r="494">
      <c r="A494" s="85"/>
      <c r="C494" s="2"/>
    </row>
    <row r="495">
      <c r="A495" s="85"/>
      <c r="C495" s="2"/>
    </row>
    <row r="496">
      <c r="A496" s="85"/>
      <c r="C496" s="2"/>
    </row>
    <row r="497">
      <c r="A497" s="85"/>
      <c r="C497" s="2"/>
    </row>
    <row r="498">
      <c r="A498" s="85"/>
      <c r="C498" s="2"/>
    </row>
    <row r="499">
      <c r="A499" s="85"/>
      <c r="C499" s="2"/>
    </row>
    <row r="500">
      <c r="A500" s="85"/>
      <c r="C500" s="2"/>
    </row>
    <row r="501">
      <c r="A501" s="85"/>
      <c r="C501" s="2"/>
    </row>
    <row r="502">
      <c r="A502" s="85"/>
      <c r="C502" s="2"/>
    </row>
    <row r="503">
      <c r="A503" s="85"/>
      <c r="C503" s="2"/>
    </row>
    <row r="504">
      <c r="A504" s="85"/>
      <c r="C504" s="2"/>
    </row>
    <row r="505">
      <c r="A505" s="85"/>
      <c r="C505" s="2"/>
    </row>
    <row r="506">
      <c r="A506" s="85"/>
      <c r="C506" s="2"/>
    </row>
    <row r="507">
      <c r="A507" s="85"/>
      <c r="C507" s="2"/>
    </row>
    <row r="508">
      <c r="A508" s="85"/>
      <c r="C508" s="2"/>
    </row>
    <row r="509">
      <c r="A509" s="85"/>
      <c r="C509" s="2"/>
    </row>
    <row r="510">
      <c r="A510" s="85"/>
      <c r="C510" s="2"/>
    </row>
    <row r="511">
      <c r="A511" s="85"/>
      <c r="C511" s="2"/>
    </row>
    <row r="512">
      <c r="A512" s="85"/>
      <c r="C512" s="2"/>
    </row>
    <row r="513">
      <c r="A513" s="85"/>
      <c r="C513" s="2"/>
    </row>
    <row r="514">
      <c r="A514" s="85"/>
      <c r="C514" s="2"/>
    </row>
    <row r="515">
      <c r="A515" s="85"/>
      <c r="C515" s="2"/>
    </row>
    <row r="516">
      <c r="A516" s="85"/>
      <c r="C516" s="2"/>
    </row>
    <row r="517">
      <c r="A517" s="85"/>
      <c r="C517" s="2"/>
    </row>
    <row r="518">
      <c r="A518" s="85"/>
      <c r="C518" s="2"/>
    </row>
    <row r="519">
      <c r="A519" s="85"/>
      <c r="C519" s="2"/>
    </row>
    <row r="520">
      <c r="A520" s="85"/>
      <c r="C520" s="2"/>
    </row>
    <row r="521">
      <c r="A521" s="85"/>
      <c r="C521" s="2"/>
    </row>
    <row r="522">
      <c r="A522" s="85"/>
      <c r="C522" s="2"/>
    </row>
    <row r="523">
      <c r="A523" s="85"/>
      <c r="C523" s="2"/>
    </row>
    <row r="524">
      <c r="A524" s="85"/>
      <c r="C524" s="2"/>
    </row>
    <row r="525">
      <c r="A525" s="85"/>
      <c r="C525" s="2"/>
    </row>
    <row r="526">
      <c r="A526" s="85"/>
      <c r="C526" s="2"/>
    </row>
    <row r="527">
      <c r="A527" s="85"/>
      <c r="C527" s="2"/>
    </row>
    <row r="528">
      <c r="A528" s="85"/>
      <c r="C528" s="2"/>
    </row>
    <row r="529">
      <c r="A529" s="85"/>
      <c r="C529" s="2"/>
    </row>
    <row r="530">
      <c r="A530" s="85"/>
      <c r="C530" s="2"/>
    </row>
    <row r="531">
      <c r="A531" s="85"/>
      <c r="C531" s="2"/>
    </row>
    <row r="532">
      <c r="A532" s="85"/>
      <c r="C532" s="2"/>
    </row>
    <row r="533">
      <c r="A533" s="85"/>
      <c r="C533" s="2"/>
    </row>
    <row r="534">
      <c r="A534" s="85"/>
      <c r="C534" s="2"/>
    </row>
    <row r="535">
      <c r="A535" s="85"/>
      <c r="C535" s="2"/>
    </row>
    <row r="536">
      <c r="A536" s="85"/>
      <c r="C536" s="2"/>
    </row>
    <row r="537">
      <c r="A537" s="85"/>
      <c r="C537" s="2"/>
    </row>
    <row r="538">
      <c r="A538" s="85"/>
      <c r="C538" s="2"/>
    </row>
    <row r="539">
      <c r="A539" s="85"/>
      <c r="C539" s="2"/>
    </row>
    <row r="540">
      <c r="A540" s="85"/>
      <c r="C540" s="2"/>
    </row>
    <row r="541">
      <c r="A541" s="85"/>
      <c r="C541" s="2"/>
    </row>
    <row r="542">
      <c r="A542" s="85"/>
      <c r="C542" s="2"/>
    </row>
    <row r="543">
      <c r="A543" s="85"/>
      <c r="C543" s="2"/>
    </row>
    <row r="544">
      <c r="A544" s="85"/>
      <c r="C544" s="2"/>
    </row>
    <row r="545">
      <c r="A545" s="85"/>
      <c r="C545" s="2"/>
    </row>
    <row r="546">
      <c r="A546" s="85"/>
      <c r="C546" s="2"/>
    </row>
    <row r="547">
      <c r="A547" s="85"/>
      <c r="C547" s="2"/>
    </row>
    <row r="548">
      <c r="A548" s="85"/>
      <c r="C548" s="2"/>
    </row>
    <row r="549">
      <c r="A549" s="85"/>
      <c r="C549" s="2"/>
    </row>
    <row r="550">
      <c r="A550" s="85"/>
      <c r="C550" s="2"/>
    </row>
    <row r="551">
      <c r="A551" s="85"/>
      <c r="C551" s="2"/>
    </row>
    <row r="552">
      <c r="A552" s="85"/>
      <c r="C552" s="2"/>
    </row>
    <row r="553">
      <c r="A553" s="85"/>
      <c r="C553" s="2"/>
    </row>
    <row r="554">
      <c r="A554" s="85"/>
      <c r="C554" s="2"/>
    </row>
    <row r="555">
      <c r="A555" s="85"/>
      <c r="C555" s="2"/>
    </row>
    <row r="556">
      <c r="A556" s="85"/>
      <c r="C556" s="2"/>
    </row>
    <row r="557">
      <c r="A557" s="85"/>
      <c r="C557" s="2"/>
    </row>
    <row r="558">
      <c r="A558" s="85"/>
      <c r="C558" s="2"/>
    </row>
    <row r="559">
      <c r="A559" s="85"/>
      <c r="C559" s="2"/>
    </row>
    <row r="560">
      <c r="A560" s="85"/>
      <c r="C560" s="2"/>
    </row>
    <row r="561">
      <c r="A561" s="85"/>
      <c r="C561" s="2"/>
    </row>
    <row r="562">
      <c r="A562" s="85"/>
      <c r="C562" s="2"/>
    </row>
    <row r="563">
      <c r="A563" s="85"/>
      <c r="C563" s="2"/>
    </row>
    <row r="564">
      <c r="A564" s="85"/>
      <c r="C564" s="2"/>
    </row>
    <row r="565">
      <c r="A565" s="85"/>
      <c r="C565" s="2"/>
    </row>
    <row r="566">
      <c r="A566" s="85"/>
      <c r="C566" s="2"/>
    </row>
    <row r="567">
      <c r="A567" s="85"/>
      <c r="C567" s="2"/>
    </row>
    <row r="568">
      <c r="A568" s="85"/>
      <c r="C568" s="2"/>
    </row>
    <row r="569">
      <c r="A569" s="85"/>
      <c r="C569" s="2"/>
    </row>
    <row r="570">
      <c r="A570" s="85"/>
      <c r="C570" s="2"/>
    </row>
    <row r="571">
      <c r="A571" s="85"/>
      <c r="C571" s="2"/>
    </row>
    <row r="572">
      <c r="A572" s="85"/>
      <c r="C572" s="2"/>
    </row>
    <row r="573">
      <c r="A573" s="85"/>
      <c r="C573" s="2"/>
    </row>
    <row r="574">
      <c r="A574" s="85"/>
      <c r="C574" s="2"/>
    </row>
    <row r="575">
      <c r="A575" s="85"/>
      <c r="C575" s="2"/>
    </row>
    <row r="576">
      <c r="A576" s="85"/>
      <c r="C576" s="2"/>
    </row>
    <row r="577">
      <c r="A577" s="85"/>
      <c r="C577" s="2"/>
    </row>
    <row r="578">
      <c r="A578" s="85"/>
      <c r="C578" s="2"/>
    </row>
    <row r="579">
      <c r="A579" s="85"/>
      <c r="C579" s="2"/>
    </row>
    <row r="580">
      <c r="A580" s="85"/>
      <c r="C580" s="2"/>
    </row>
    <row r="581">
      <c r="A581" s="85"/>
      <c r="C581" s="2"/>
    </row>
    <row r="582">
      <c r="A582" s="85"/>
      <c r="C582" s="2"/>
    </row>
    <row r="583">
      <c r="A583" s="85"/>
      <c r="C583" s="2"/>
    </row>
    <row r="584">
      <c r="A584" s="85"/>
      <c r="C584" s="2"/>
    </row>
    <row r="585">
      <c r="A585" s="85"/>
      <c r="C585" s="2"/>
    </row>
    <row r="586">
      <c r="A586" s="85"/>
      <c r="C586" s="2"/>
    </row>
    <row r="587">
      <c r="A587" s="85"/>
      <c r="C587" s="2"/>
    </row>
    <row r="588">
      <c r="A588" s="85"/>
      <c r="C588" s="2"/>
    </row>
    <row r="589">
      <c r="A589" s="85"/>
      <c r="C589" s="2"/>
    </row>
    <row r="590">
      <c r="A590" s="85"/>
      <c r="C590" s="2"/>
    </row>
    <row r="591">
      <c r="A591" s="85"/>
      <c r="C591" s="2"/>
    </row>
    <row r="592">
      <c r="A592" s="85"/>
      <c r="C592" s="2"/>
    </row>
    <row r="593">
      <c r="A593" s="85"/>
      <c r="C593" s="2"/>
    </row>
    <row r="594">
      <c r="A594" s="85"/>
      <c r="C594" s="2"/>
    </row>
    <row r="595">
      <c r="A595" s="85"/>
      <c r="C595" s="2"/>
    </row>
    <row r="596">
      <c r="A596" s="85"/>
      <c r="C596" s="2"/>
    </row>
    <row r="597">
      <c r="A597" s="85"/>
      <c r="C597" s="2"/>
    </row>
    <row r="598">
      <c r="A598" s="85"/>
      <c r="C598" s="2"/>
    </row>
    <row r="599">
      <c r="A599" s="85"/>
      <c r="C599" s="2"/>
    </row>
    <row r="600">
      <c r="A600" s="85"/>
      <c r="C600" s="2"/>
    </row>
    <row r="601">
      <c r="A601" s="85"/>
      <c r="C601" s="2"/>
    </row>
    <row r="602">
      <c r="A602" s="85"/>
      <c r="C602" s="2"/>
    </row>
    <row r="603">
      <c r="A603" s="85"/>
      <c r="C603" s="2"/>
    </row>
    <row r="604">
      <c r="A604" s="85"/>
      <c r="C604" s="2"/>
    </row>
    <row r="605">
      <c r="A605" s="85"/>
      <c r="C605" s="2"/>
    </row>
    <row r="606">
      <c r="A606" s="85"/>
      <c r="C606" s="2"/>
    </row>
    <row r="607">
      <c r="A607" s="85"/>
      <c r="C607" s="2"/>
    </row>
    <row r="608">
      <c r="A608" s="85"/>
      <c r="C608" s="2"/>
    </row>
    <row r="609">
      <c r="A609" s="85"/>
      <c r="C609" s="2"/>
    </row>
    <row r="610">
      <c r="A610" s="85"/>
      <c r="C610" s="2"/>
    </row>
    <row r="611">
      <c r="A611" s="85"/>
      <c r="C611" s="2"/>
    </row>
    <row r="612">
      <c r="A612" s="85"/>
      <c r="C612" s="2"/>
    </row>
    <row r="613">
      <c r="A613" s="85"/>
      <c r="C613" s="2"/>
    </row>
    <row r="614">
      <c r="A614" s="85"/>
      <c r="C614" s="2"/>
    </row>
    <row r="615">
      <c r="A615" s="85"/>
      <c r="C615" s="2"/>
    </row>
    <row r="616">
      <c r="A616" s="85"/>
      <c r="C616" s="2"/>
    </row>
    <row r="617">
      <c r="A617" s="85"/>
      <c r="C617" s="2"/>
    </row>
    <row r="618">
      <c r="A618" s="85"/>
      <c r="C618" s="2"/>
    </row>
    <row r="619">
      <c r="A619" s="85"/>
      <c r="C619" s="2"/>
    </row>
    <row r="620">
      <c r="A620" s="85"/>
      <c r="C620" s="2"/>
    </row>
    <row r="621">
      <c r="A621" s="85"/>
      <c r="C621" s="2"/>
    </row>
    <row r="622">
      <c r="A622" s="85"/>
      <c r="C622" s="2"/>
    </row>
    <row r="623">
      <c r="A623" s="85"/>
      <c r="C623" s="2"/>
    </row>
    <row r="624">
      <c r="A624" s="85"/>
      <c r="C624" s="2"/>
    </row>
    <row r="625">
      <c r="A625" s="85"/>
      <c r="C625" s="2"/>
    </row>
    <row r="626">
      <c r="A626" s="85"/>
      <c r="C626" s="2"/>
    </row>
    <row r="627">
      <c r="A627" s="85"/>
      <c r="C627" s="2"/>
    </row>
    <row r="628">
      <c r="A628" s="85"/>
      <c r="C628" s="2"/>
    </row>
    <row r="629">
      <c r="A629" s="85"/>
      <c r="C629" s="2"/>
    </row>
    <row r="630">
      <c r="A630" s="85"/>
      <c r="C630" s="2"/>
    </row>
    <row r="631">
      <c r="A631" s="85"/>
      <c r="C631" s="2"/>
    </row>
    <row r="632">
      <c r="A632" s="85"/>
      <c r="C632" s="2"/>
    </row>
    <row r="633">
      <c r="A633" s="85"/>
      <c r="C633" s="2"/>
    </row>
    <row r="634">
      <c r="A634" s="85"/>
      <c r="C634" s="2"/>
    </row>
    <row r="635">
      <c r="A635" s="85"/>
      <c r="C635" s="2"/>
    </row>
    <row r="636">
      <c r="A636" s="85"/>
      <c r="C636" s="2"/>
    </row>
    <row r="637">
      <c r="A637" s="85"/>
      <c r="C637" s="2"/>
    </row>
    <row r="638">
      <c r="A638" s="85"/>
      <c r="C638" s="2"/>
    </row>
    <row r="639">
      <c r="A639" s="85"/>
      <c r="C639" s="2"/>
    </row>
    <row r="640">
      <c r="A640" s="85"/>
      <c r="C640" s="2"/>
    </row>
    <row r="641">
      <c r="A641" s="85"/>
      <c r="C641" s="2"/>
    </row>
    <row r="642">
      <c r="A642" s="85"/>
      <c r="C642" s="2"/>
    </row>
    <row r="643">
      <c r="A643" s="85"/>
      <c r="C643" s="2"/>
    </row>
    <row r="644">
      <c r="A644" s="85"/>
      <c r="C644" s="2"/>
    </row>
    <row r="645">
      <c r="A645" s="85"/>
      <c r="C645" s="2"/>
    </row>
    <row r="646">
      <c r="A646" s="85"/>
      <c r="C646" s="2"/>
    </row>
    <row r="647">
      <c r="A647" s="85"/>
      <c r="C647" s="2"/>
    </row>
    <row r="648">
      <c r="A648" s="85"/>
      <c r="C648" s="2"/>
    </row>
    <row r="649">
      <c r="A649" s="85"/>
      <c r="C649" s="2"/>
    </row>
    <row r="650">
      <c r="A650" s="85"/>
      <c r="C650" s="2"/>
    </row>
    <row r="651">
      <c r="A651" s="85"/>
      <c r="C651" s="2"/>
    </row>
    <row r="652">
      <c r="A652" s="85"/>
      <c r="C652" s="2"/>
    </row>
    <row r="653">
      <c r="A653" s="85"/>
      <c r="C653" s="2"/>
    </row>
    <row r="654">
      <c r="A654" s="85"/>
      <c r="C654" s="2"/>
    </row>
    <row r="655">
      <c r="A655" s="85"/>
      <c r="C655" s="2"/>
    </row>
    <row r="656">
      <c r="A656" s="85"/>
      <c r="C656" s="2"/>
    </row>
    <row r="657">
      <c r="A657" s="85"/>
      <c r="C657" s="2"/>
    </row>
    <row r="658">
      <c r="A658" s="85"/>
      <c r="C658" s="2"/>
    </row>
    <row r="659">
      <c r="A659" s="85"/>
      <c r="C659" s="2"/>
    </row>
    <row r="660">
      <c r="A660" s="85"/>
      <c r="C660" s="2"/>
    </row>
    <row r="661">
      <c r="A661" s="85"/>
      <c r="C661" s="2"/>
    </row>
    <row r="662">
      <c r="A662" s="85"/>
      <c r="C662" s="2"/>
    </row>
    <row r="663">
      <c r="A663" s="85"/>
      <c r="C663" s="2"/>
    </row>
    <row r="664">
      <c r="A664" s="85"/>
      <c r="C664" s="2"/>
    </row>
    <row r="665">
      <c r="A665" s="85"/>
      <c r="C665" s="2"/>
    </row>
    <row r="666">
      <c r="A666" s="85"/>
      <c r="C666" s="2"/>
    </row>
    <row r="667">
      <c r="A667" s="85"/>
      <c r="C667" s="2"/>
    </row>
    <row r="668">
      <c r="A668" s="85"/>
      <c r="C668" s="2"/>
    </row>
    <row r="669">
      <c r="A669" s="85"/>
      <c r="C669" s="2"/>
    </row>
    <row r="670">
      <c r="A670" s="85"/>
      <c r="C670" s="2"/>
    </row>
    <row r="671">
      <c r="A671" s="85"/>
      <c r="C671" s="2"/>
    </row>
    <row r="672">
      <c r="A672" s="85"/>
      <c r="C672" s="2"/>
    </row>
    <row r="673">
      <c r="A673" s="85"/>
      <c r="C673" s="2"/>
    </row>
    <row r="674">
      <c r="A674" s="85"/>
      <c r="C674" s="2"/>
    </row>
    <row r="675">
      <c r="A675" s="85"/>
      <c r="C675" s="2"/>
    </row>
    <row r="676">
      <c r="A676" s="85"/>
      <c r="C676" s="2"/>
    </row>
    <row r="677">
      <c r="A677" s="85"/>
      <c r="C677" s="2"/>
    </row>
    <row r="678">
      <c r="A678" s="85"/>
      <c r="C678" s="2"/>
    </row>
    <row r="679">
      <c r="A679" s="85"/>
      <c r="C679" s="2"/>
    </row>
    <row r="680">
      <c r="A680" s="85"/>
      <c r="C680" s="2"/>
    </row>
    <row r="681">
      <c r="A681" s="85"/>
      <c r="C681" s="2"/>
    </row>
    <row r="682">
      <c r="A682" s="85"/>
      <c r="C682" s="2"/>
    </row>
    <row r="683">
      <c r="A683" s="85"/>
      <c r="C683" s="2"/>
    </row>
    <row r="684">
      <c r="A684" s="85"/>
      <c r="C684" s="2"/>
    </row>
    <row r="685">
      <c r="A685" s="85"/>
      <c r="C685" s="2"/>
    </row>
    <row r="686">
      <c r="A686" s="85"/>
      <c r="C686" s="2"/>
    </row>
    <row r="687">
      <c r="A687" s="85"/>
      <c r="C687" s="2"/>
    </row>
    <row r="688">
      <c r="A688" s="85"/>
      <c r="C688" s="2"/>
    </row>
    <row r="689">
      <c r="A689" s="85"/>
      <c r="C689" s="2"/>
    </row>
    <row r="690">
      <c r="A690" s="85"/>
      <c r="C690" s="2"/>
    </row>
    <row r="691">
      <c r="A691" s="85"/>
      <c r="C691" s="2"/>
    </row>
    <row r="692">
      <c r="A692" s="85"/>
      <c r="C692" s="2"/>
    </row>
    <row r="693">
      <c r="A693" s="85"/>
      <c r="C693" s="2"/>
    </row>
    <row r="694">
      <c r="A694" s="85"/>
      <c r="C694" s="2"/>
    </row>
    <row r="695">
      <c r="A695" s="85"/>
      <c r="C695" s="2"/>
    </row>
    <row r="696">
      <c r="A696" s="85"/>
      <c r="C696" s="2"/>
    </row>
    <row r="697">
      <c r="A697" s="85"/>
      <c r="C697" s="2"/>
    </row>
    <row r="698">
      <c r="A698" s="85"/>
      <c r="C698" s="2"/>
    </row>
    <row r="699">
      <c r="A699" s="85"/>
      <c r="C699" s="2"/>
    </row>
    <row r="700">
      <c r="A700" s="85"/>
      <c r="C700" s="2"/>
    </row>
    <row r="701">
      <c r="A701" s="85"/>
      <c r="C701" s="2"/>
    </row>
    <row r="702">
      <c r="A702" s="85"/>
      <c r="C702" s="2"/>
    </row>
    <row r="703">
      <c r="A703" s="85"/>
      <c r="C703" s="2"/>
    </row>
    <row r="704">
      <c r="A704" s="85"/>
      <c r="C704" s="2"/>
    </row>
    <row r="705">
      <c r="A705" s="85"/>
      <c r="C705" s="2"/>
    </row>
    <row r="706">
      <c r="A706" s="85"/>
      <c r="C706" s="2"/>
    </row>
    <row r="707">
      <c r="A707" s="85"/>
      <c r="C707" s="2"/>
    </row>
    <row r="708">
      <c r="A708" s="85"/>
      <c r="C708" s="2"/>
    </row>
    <row r="709">
      <c r="A709" s="85"/>
      <c r="C709" s="2"/>
    </row>
    <row r="710">
      <c r="A710" s="85"/>
      <c r="C710" s="2"/>
    </row>
    <row r="711">
      <c r="A711" s="85"/>
      <c r="C711" s="2"/>
    </row>
    <row r="712">
      <c r="A712" s="85"/>
      <c r="C712" s="2"/>
    </row>
    <row r="713">
      <c r="A713" s="85"/>
      <c r="C713" s="2"/>
    </row>
    <row r="714">
      <c r="A714" s="85"/>
      <c r="C714" s="2"/>
    </row>
    <row r="715">
      <c r="A715" s="85"/>
      <c r="C715" s="2"/>
    </row>
    <row r="716">
      <c r="A716" s="85"/>
      <c r="C716" s="2"/>
    </row>
    <row r="717">
      <c r="A717" s="85"/>
      <c r="C717" s="2"/>
    </row>
    <row r="718">
      <c r="A718" s="85"/>
      <c r="C718" s="2"/>
    </row>
    <row r="719">
      <c r="A719" s="85"/>
      <c r="C719" s="2"/>
    </row>
    <row r="720">
      <c r="A720" s="85"/>
      <c r="C720" s="2"/>
    </row>
    <row r="721">
      <c r="A721" s="85"/>
      <c r="C721" s="2"/>
    </row>
    <row r="722">
      <c r="A722" s="85"/>
      <c r="C722" s="2"/>
    </row>
    <row r="723">
      <c r="A723" s="85"/>
      <c r="C723" s="2"/>
    </row>
    <row r="724">
      <c r="A724" s="85"/>
      <c r="C724" s="2"/>
    </row>
    <row r="725">
      <c r="A725" s="85"/>
      <c r="C725" s="2"/>
    </row>
    <row r="726">
      <c r="A726" s="85"/>
      <c r="C726" s="2"/>
    </row>
    <row r="727">
      <c r="A727" s="85"/>
      <c r="C727" s="2"/>
    </row>
    <row r="728">
      <c r="A728" s="85"/>
      <c r="C728" s="2"/>
    </row>
    <row r="729">
      <c r="A729" s="85"/>
      <c r="C729" s="2"/>
    </row>
    <row r="730">
      <c r="A730" s="85"/>
      <c r="C730" s="2"/>
    </row>
    <row r="731">
      <c r="A731" s="85"/>
      <c r="C731" s="2"/>
    </row>
    <row r="732">
      <c r="A732" s="85"/>
      <c r="C732" s="2"/>
    </row>
    <row r="733">
      <c r="A733" s="85"/>
      <c r="C733" s="2"/>
    </row>
    <row r="734">
      <c r="A734" s="85"/>
      <c r="C734" s="2"/>
    </row>
    <row r="735">
      <c r="A735" s="85"/>
      <c r="C735" s="2"/>
    </row>
    <row r="736">
      <c r="A736" s="85"/>
      <c r="C736" s="2"/>
    </row>
    <row r="737">
      <c r="A737" s="85"/>
      <c r="C737" s="2"/>
    </row>
    <row r="738">
      <c r="A738" s="85"/>
      <c r="C738" s="2"/>
    </row>
    <row r="739">
      <c r="A739" s="85"/>
      <c r="C739" s="2"/>
    </row>
    <row r="740">
      <c r="A740" s="85"/>
      <c r="C740" s="2"/>
    </row>
    <row r="741">
      <c r="A741" s="85"/>
      <c r="C741" s="2"/>
    </row>
    <row r="742">
      <c r="A742" s="85"/>
      <c r="C742" s="2"/>
    </row>
    <row r="743">
      <c r="A743" s="85"/>
      <c r="C743" s="2"/>
    </row>
    <row r="744">
      <c r="A744" s="85"/>
      <c r="C744" s="2"/>
    </row>
    <row r="745">
      <c r="A745" s="85"/>
      <c r="C745" s="2"/>
    </row>
    <row r="746">
      <c r="A746" s="85"/>
      <c r="C746" s="2"/>
    </row>
    <row r="747">
      <c r="A747" s="85"/>
      <c r="C747" s="2"/>
    </row>
    <row r="748">
      <c r="A748" s="85"/>
      <c r="C748" s="2"/>
    </row>
    <row r="749">
      <c r="A749" s="85"/>
      <c r="C749" s="2"/>
    </row>
    <row r="750">
      <c r="A750" s="85"/>
      <c r="C750" s="2"/>
    </row>
    <row r="751">
      <c r="A751" s="85"/>
      <c r="C751" s="2"/>
    </row>
    <row r="752">
      <c r="A752" s="85"/>
      <c r="C752" s="2"/>
    </row>
    <row r="753">
      <c r="A753" s="85"/>
      <c r="C753" s="2"/>
    </row>
    <row r="754">
      <c r="A754" s="85"/>
      <c r="C754" s="2"/>
    </row>
    <row r="755">
      <c r="A755" s="85"/>
      <c r="C755" s="2"/>
    </row>
    <row r="756">
      <c r="A756" s="85"/>
      <c r="C756" s="2"/>
    </row>
    <row r="757">
      <c r="A757" s="85"/>
      <c r="C757" s="2"/>
    </row>
    <row r="758">
      <c r="A758" s="85"/>
      <c r="C758" s="2"/>
    </row>
    <row r="759">
      <c r="A759" s="85"/>
      <c r="C759" s="2"/>
    </row>
    <row r="760">
      <c r="A760" s="85"/>
      <c r="C760" s="2"/>
    </row>
    <row r="761">
      <c r="A761" s="85"/>
      <c r="C761" s="2"/>
    </row>
    <row r="762">
      <c r="A762" s="85"/>
      <c r="C762" s="2"/>
    </row>
    <row r="763">
      <c r="A763" s="85"/>
      <c r="C763" s="2"/>
    </row>
    <row r="764">
      <c r="A764" s="85"/>
      <c r="C764" s="2"/>
    </row>
    <row r="765">
      <c r="A765" s="85"/>
      <c r="C765" s="2"/>
    </row>
    <row r="766">
      <c r="A766" s="85"/>
      <c r="C766" s="2"/>
    </row>
    <row r="767">
      <c r="A767" s="85"/>
      <c r="C767" s="2"/>
    </row>
    <row r="768">
      <c r="A768" s="85"/>
      <c r="C768" s="2"/>
    </row>
    <row r="769">
      <c r="A769" s="85"/>
      <c r="C769" s="2"/>
    </row>
    <row r="770">
      <c r="A770" s="85"/>
      <c r="C770" s="2"/>
    </row>
    <row r="771">
      <c r="A771" s="85"/>
      <c r="C771" s="2"/>
    </row>
    <row r="772">
      <c r="A772" s="85"/>
      <c r="C772" s="2"/>
    </row>
    <row r="773">
      <c r="A773" s="85"/>
      <c r="C773" s="2"/>
    </row>
    <row r="774">
      <c r="A774" s="85"/>
      <c r="C774" s="2"/>
    </row>
    <row r="775">
      <c r="A775" s="85"/>
      <c r="C775" s="2"/>
    </row>
    <row r="776">
      <c r="A776" s="85"/>
      <c r="C776" s="2"/>
    </row>
    <row r="777">
      <c r="A777" s="85"/>
      <c r="C777" s="2"/>
    </row>
    <row r="778">
      <c r="A778" s="85"/>
      <c r="C778" s="2"/>
    </row>
    <row r="779">
      <c r="A779" s="85"/>
      <c r="C779" s="2"/>
    </row>
    <row r="780">
      <c r="A780" s="85"/>
      <c r="C780" s="2"/>
    </row>
    <row r="781">
      <c r="A781" s="85"/>
      <c r="C781" s="2"/>
    </row>
    <row r="782">
      <c r="A782" s="85"/>
      <c r="C782" s="2"/>
    </row>
    <row r="783">
      <c r="A783" s="85"/>
      <c r="C783" s="2"/>
    </row>
    <row r="784">
      <c r="A784" s="85"/>
      <c r="C784" s="2"/>
    </row>
    <row r="785">
      <c r="A785" s="85"/>
      <c r="C785" s="2"/>
    </row>
    <row r="786">
      <c r="A786" s="85"/>
      <c r="C786" s="2"/>
    </row>
    <row r="787">
      <c r="A787" s="85"/>
      <c r="C787" s="2"/>
    </row>
    <row r="788">
      <c r="A788" s="85"/>
      <c r="C788" s="2"/>
    </row>
    <row r="789">
      <c r="A789" s="85"/>
      <c r="C789" s="2"/>
    </row>
    <row r="790">
      <c r="A790" s="85"/>
      <c r="C790" s="2"/>
    </row>
    <row r="791">
      <c r="A791" s="85"/>
      <c r="C791" s="2"/>
    </row>
    <row r="792">
      <c r="A792" s="85"/>
      <c r="C792" s="2"/>
    </row>
    <row r="793">
      <c r="A793" s="85"/>
      <c r="C793" s="2"/>
    </row>
    <row r="794">
      <c r="A794" s="85"/>
      <c r="C794" s="2"/>
    </row>
    <row r="795">
      <c r="A795" s="85"/>
      <c r="C795" s="2"/>
    </row>
    <row r="796">
      <c r="A796" s="85"/>
      <c r="C796" s="2"/>
    </row>
    <row r="797">
      <c r="A797" s="85"/>
      <c r="C797" s="2"/>
    </row>
    <row r="798">
      <c r="A798" s="85"/>
      <c r="C798" s="2"/>
    </row>
    <row r="799">
      <c r="A799" s="85"/>
      <c r="C799" s="2"/>
    </row>
    <row r="800">
      <c r="A800" s="85"/>
      <c r="C800" s="2"/>
    </row>
    <row r="801">
      <c r="A801" s="85"/>
      <c r="C801" s="2"/>
    </row>
    <row r="802">
      <c r="A802" s="85"/>
      <c r="C802" s="2"/>
    </row>
    <row r="803">
      <c r="A803" s="85"/>
      <c r="C803" s="2"/>
    </row>
    <row r="804">
      <c r="A804" s="85"/>
      <c r="C804" s="2"/>
    </row>
    <row r="805">
      <c r="A805" s="85"/>
      <c r="C805" s="2"/>
    </row>
    <row r="806">
      <c r="A806" s="85"/>
      <c r="C806" s="2"/>
    </row>
    <row r="807">
      <c r="A807" s="85"/>
      <c r="C807" s="2"/>
    </row>
    <row r="808">
      <c r="A808" s="85"/>
      <c r="C808" s="2"/>
    </row>
    <row r="809">
      <c r="A809" s="85"/>
      <c r="C809" s="2"/>
    </row>
    <row r="810">
      <c r="A810" s="85"/>
      <c r="C810" s="2"/>
    </row>
    <row r="811">
      <c r="A811" s="85"/>
      <c r="C811" s="2"/>
    </row>
    <row r="812">
      <c r="A812" s="85"/>
      <c r="C812" s="2"/>
    </row>
    <row r="813">
      <c r="A813" s="85"/>
      <c r="C813" s="2"/>
    </row>
    <row r="814">
      <c r="A814" s="85"/>
      <c r="C814" s="2"/>
    </row>
    <row r="815">
      <c r="A815" s="85"/>
      <c r="C815" s="2"/>
    </row>
    <row r="816">
      <c r="A816" s="85"/>
      <c r="C816" s="2"/>
    </row>
    <row r="817">
      <c r="A817" s="85"/>
      <c r="C817" s="2"/>
    </row>
    <row r="818">
      <c r="A818" s="85"/>
      <c r="C818" s="2"/>
    </row>
    <row r="819">
      <c r="A819" s="85"/>
      <c r="C819" s="2"/>
    </row>
    <row r="820">
      <c r="A820" s="85"/>
      <c r="C820" s="2"/>
    </row>
    <row r="821">
      <c r="A821" s="85"/>
      <c r="C821" s="2"/>
    </row>
    <row r="822">
      <c r="A822" s="85"/>
      <c r="C822" s="2"/>
    </row>
    <row r="823">
      <c r="A823" s="85"/>
      <c r="C823" s="2"/>
    </row>
    <row r="824">
      <c r="A824" s="85"/>
      <c r="C824" s="2"/>
    </row>
    <row r="825">
      <c r="A825" s="85"/>
      <c r="C825" s="2"/>
    </row>
    <row r="826">
      <c r="A826" s="85"/>
      <c r="C826" s="2"/>
    </row>
    <row r="827">
      <c r="A827" s="85"/>
      <c r="C827" s="2"/>
    </row>
    <row r="828">
      <c r="A828" s="85"/>
      <c r="C828" s="2"/>
    </row>
    <row r="829">
      <c r="A829" s="85"/>
      <c r="C829" s="2"/>
    </row>
    <row r="830">
      <c r="A830" s="85"/>
      <c r="C830" s="2"/>
    </row>
    <row r="831">
      <c r="A831" s="85"/>
      <c r="C831" s="2"/>
    </row>
    <row r="832">
      <c r="A832" s="85"/>
      <c r="C832" s="2"/>
    </row>
    <row r="833">
      <c r="A833" s="85"/>
      <c r="C833" s="2"/>
    </row>
    <row r="834">
      <c r="A834" s="85"/>
      <c r="C834" s="2"/>
    </row>
    <row r="835">
      <c r="A835" s="85"/>
      <c r="C835" s="2"/>
    </row>
    <row r="836">
      <c r="A836" s="85"/>
      <c r="C836" s="2"/>
    </row>
    <row r="837">
      <c r="A837" s="85"/>
      <c r="C837" s="2"/>
    </row>
    <row r="838">
      <c r="A838" s="85"/>
      <c r="C838" s="2"/>
    </row>
    <row r="839">
      <c r="A839" s="85"/>
      <c r="C839" s="2"/>
    </row>
    <row r="840">
      <c r="A840" s="85"/>
      <c r="C840" s="2"/>
    </row>
    <row r="841">
      <c r="A841" s="85"/>
      <c r="C841" s="2"/>
    </row>
    <row r="842">
      <c r="A842" s="85"/>
      <c r="C842" s="2"/>
    </row>
    <row r="843">
      <c r="A843" s="85"/>
      <c r="C843" s="2"/>
    </row>
    <row r="844">
      <c r="A844" s="85"/>
      <c r="C844" s="2"/>
    </row>
    <row r="845">
      <c r="A845" s="85"/>
      <c r="C845" s="2"/>
    </row>
    <row r="846">
      <c r="A846" s="85"/>
      <c r="C846" s="2"/>
    </row>
    <row r="847">
      <c r="A847" s="85"/>
      <c r="C847" s="2"/>
    </row>
    <row r="848">
      <c r="A848" s="85"/>
      <c r="C848" s="2"/>
    </row>
    <row r="849">
      <c r="A849" s="85"/>
      <c r="C849" s="2"/>
    </row>
    <row r="850">
      <c r="A850" s="85"/>
      <c r="C850" s="2"/>
    </row>
    <row r="851">
      <c r="A851" s="85"/>
      <c r="C851" s="2"/>
    </row>
    <row r="852">
      <c r="A852" s="85"/>
      <c r="C852" s="2"/>
    </row>
    <row r="853">
      <c r="A853" s="85"/>
      <c r="C853" s="2"/>
    </row>
    <row r="854">
      <c r="A854" s="85"/>
      <c r="C854" s="2"/>
    </row>
    <row r="855">
      <c r="A855" s="85"/>
      <c r="C855" s="2"/>
    </row>
    <row r="856">
      <c r="A856" s="85"/>
      <c r="C856" s="2"/>
    </row>
    <row r="857">
      <c r="A857" s="85"/>
      <c r="C857" s="2"/>
    </row>
    <row r="858">
      <c r="A858" s="85"/>
      <c r="C858" s="2"/>
    </row>
    <row r="859">
      <c r="A859" s="85"/>
      <c r="C859" s="2"/>
    </row>
    <row r="860">
      <c r="A860" s="85"/>
      <c r="C860" s="2"/>
    </row>
    <row r="861">
      <c r="A861" s="85"/>
      <c r="C861" s="2"/>
    </row>
    <row r="862">
      <c r="A862" s="85"/>
      <c r="C862" s="2"/>
    </row>
    <row r="863">
      <c r="A863" s="85"/>
      <c r="C863" s="2"/>
    </row>
    <row r="864">
      <c r="A864" s="85"/>
      <c r="C864" s="2"/>
    </row>
    <row r="865">
      <c r="A865" s="85"/>
      <c r="C865" s="2"/>
    </row>
    <row r="866">
      <c r="A866" s="85"/>
      <c r="C866" s="2"/>
    </row>
    <row r="867">
      <c r="A867" s="85"/>
      <c r="C867" s="2"/>
    </row>
    <row r="868">
      <c r="A868" s="85"/>
      <c r="C868" s="2"/>
    </row>
    <row r="869">
      <c r="A869" s="85"/>
      <c r="C869" s="2"/>
    </row>
    <row r="870">
      <c r="A870" s="85"/>
      <c r="C870" s="2"/>
    </row>
    <row r="871">
      <c r="A871" s="85"/>
      <c r="C871" s="2"/>
    </row>
    <row r="872">
      <c r="A872" s="85"/>
      <c r="C872" s="2"/>
    </row>
    <row r="873">
      <c r="A873" s="85"/>
      <c r="C873" s="2"/>
    </row>
    <row r="874">
      <c r="A874" s="85"/>
      <c r="C874" s="2"/>
    </row>
    <row r="875">
      <c r="A875" s="85"/>
      <c r="C875" s="2"/>
    </row>
    <row r="876">
      <c r="A876" s="85"/>
      <c r="C876" s="2"/>
    </row>
    <row r="877">
      <c r="A877" s="85"/>
      <c r="C877" s="2"/>
    </row>
    <row r="878">
      <c r="A878" s="85"/>
      <c r="C878" s="2"/>
    </row>
    <row r="879">
      <c r="A879" s="85"/>
      <c r="C879" s="2"/>
    </row>
    <row r="880">
      <c r="A880" s="85"/>
      <c r="C880" s="2"/>
    </row>
    <row r="881">
      <c r="A881" s="85"/>
      <c r="C881" s="2"/>
    </row>
    <row r="882">
      <c r="A882" s="85"/>
      <c r="C882" s="2"/>
    </row>
    <row r="883">
      <c r="A883" s="85"/>
      <c r="C883" s="2"/>
    </row>
    <row r="884">
      <c r="A884" s="85"/>
      <c r="C884" s="2"/>
    </row>
    <row r="885">
      <c r="A885" s="85"/>
      <c r="C885" s="2"/>
    </row>
    <row r="886">
      <c r="A886" s="85"/>
      <c r="C886" s="2"/>
    </row>
    <row r="887">
      <c r="A887" s="85"/>
      <c r="C887" s="2"/>
    </row>
    <row r="888">
      <c r="A888" s="85"/>
      <c r="C888" s="2"/>
    </row>
    <row r="889">
      <c r="A889" s="85"/>
      <c r="C889" s="2"/>
    </row>
    <row r="890">
      <c r="A890" s="85"/>
      <c r="C890" s="2"/>
    </row>
    <row r="891">
      <c r="A891" s="85"/>
      <c r="C891" s="2"/>
    </row>
    <row r="892">
      <c r="A892" s="85"/>
      <c r="C892" s="2"/>
    </row>
    <row r="893">
      <c r="A893" s="85"/>
      <c r="C893" s="2"/>
    </row>
    <row r="894">
      <c r="A894" s="85"/>
      <c r="C894" s="2"/>
    </row>
    <row r="895">
      <c r="A895" s="85"/>
      <c r="C895" s="2"/>
    </row>
    <row r="896">
      <c r="A896" s="85"/>
      <c r="C896" s="2"/>
    </row>
    <row r="897">
      <c r="A897" s="85"/>
      <c r="C897" s="2"/>
    </row>
    <row r="898">
      <c r="A898" s="85"/>
      <c r="C898" s="2"/>
    </row>
    <row r="899">
      <c r="A899" s="85"/>
      <c r="C899" s="2"/>
    </row>
    <row r="900">
      <c r="A900" s="85"/>
      <c r="C900" s="2"/>
    </row>
    <row r="901">
      <c r="A901" s="85"/>
      <c r="C901" s="2"/>
    </row>
    <row r="902">
      <c r="A902" s="85"/>
      <c r="C902" s="2"/>
    </row>
    <row r="903">
      <c r="A903" s="85"/>
      <c r="C903" s="2"/>
    </row>
    <row r="904">
      <c r="A904" s="85"/>
      <c r="C904" s="2"/>
    </row>
    <row r="905">
      <c r="A905" s="85"/>
      <c r="C905" s="2"/>
    </row>
    <row r="906">
      <c r="A906" s="85"/>
      <c r="C906" s="2"/>
    </row>
    <row r="907">
      <c r="A907" s="85"/>
      <c r="C907" s="2"/>
    </row>
    <row r="908">
      <c r="A908" s="85"/>
      <c r="C908" s="2"/>
    </row>
    <row r="909">
      <c r="A909" s="85"/>
      <c r="C909" s="2"/>
    </row>
    <row r="910">
      <c r="A910" s="85"/>
      <c r="C910" s="2"/>
    </row>
    <row r="911">
      <c r="A911" s="85"/>
      <c r="C911" s="2"/>
    </row>
    <row r="912">
      <c r="A912" s="85"/>
      <c r="C912" s="2"/>
    </row>
    <row r="913">
      <c r="A913" s="85"/>
      <c r="C913" s="2"/>
    </row>
    <row r="914">
      <c r="A914" s="85"/>
      <c r="C914" s="2"/>
    </row>
    <row r="915">
      <c r="A915" s="85"/>
      <c r="C915" s="2"/>
    </row>
    <row r="916">
      <c r="A916" s="85"/>
      <c r="C916" s="2"/>
    </row>
    <row r="917">
      <c r="A917" s="85"/>
      <c r="C917" s="2"/>
    </row>
    <row r="918">
      <c r="A918" s="85"/>
      <c r="C918" s="2"/>
    </row>
    <row r="919">
      <c r="A919" s="85"/>
      <c r="C919" s="2"/>
    </row>
    <row r="920">
      <c r="A920" s="85"/>
      <c r="C920" s="2"/>
    </row>
    <row r="921">
      <c r="A921" s="85"/>
      <c r="C921" s="2"/>
    </row>
    <row r="922">
      <c r="A922" s="85"/>
      <c r="C922" s="2"/>
    </row>
    <row r="923">
      <c r="A923" s="85"/>
      <c r="C923" s="2"/>
    </row>
    <row r="924">
      <c r="A924" s="85"/>
      <c r="C924" s="2"/>
    </row>
    <row r="925">
      <c r="A925" s="85"/>
      <c r="C925" s="2"/>
    </row>
    <row r="926">
      <c r="A926" s="85"/>
      <c r="C926" s="2"/>
    </row>
    <row r="927">
      <c r="A927" s="85"/>
      <c r="C927" s="2"/>
    </row>
    <row r="928">
      <c r="A928" s="85"/>
      <c r="C928" s="2"/>
    </row>
    <row r="929">
      <c r="A929" s="85"/>
      <c r="C929" s="2"/>
    </row>
    <row r="930">
      <c r="A930" s="85"/>
      <c r="C930" s="2"/>
    </row>
    <row r="931">
      <c r="A931" s="85"/>
      <c r="C931" s="2"/>
    </row>
    <row r="932">
      <c r="A932" s="85"/>
      <c r="C932" s="2"/>
    </row>
    <row r="933">
      <c r="A933" s="85"/>
      <c r="C933" s="2"/>
    </row>
    <row r="934">
      <c r="A934" s="85"/>
      <c r="C934" s="2"/>
    </row>
    <row r="935">
      <c r="A935" s="85"/>
      <c r="C935" s="2"/>
    </row>
    <row r="936">
      <c r="A936" s="85"/>
      <c r="C936" s="2"/>
    </row>
    <row r="937">
      <c r="A937" s="85"/>
      <c r="C937" s="2"/>
    </row>
    <row r="938">
      <c r="A938" s="85"/>
      <c r="C938" s="2"/>
    </row>
    <row r="939">
      <c r="A939" s="85"/>
      <c r="C939" s="2"/>
    </row>
    <row r="940">
      <c r="A940" s="85"/>
      <c r="C940" s="2"/>
    </row>
    <row r="941">
      <c r="A941" s="85"/>
      <c r="C941" s="2"/>
    </row>
    <row r="942">
      <c r="A942" s="85"/>
      <c r="C942" s="2"/>
    </row>
    <row r="943">
      <c r="A943" s="85"/>
      <c r="C943" s="2"/>
    </row>
    <row r="944">
      <c r="A944" s="85"/>
      <c r="C944" s="2"/>
    </row>
    <row r="945">
      <c r="A945" s="85"/>
      <c r="C945" s="2"/>
    </row>
    <row r="946">
      <c r="A946" s="85"/>
      <c r="C946" s="2"/>
    </row>
    <row r="947">
      <c r="A947" s="85"/>
      <c r="C947" s="2"/>
    </row>
    <row r="948">
      <c r="A948" s="85"/>
      <c r="C948" s="2"/>
    </row>
    <row r="949">
      <c r="A949" s="85"/>
      <c r="C949" s="2"/>
    </row>
    <row r="950">
      <c r="A950" s="85"/>
      <c r="C950" s="2"/>
    </row>
    <row r="951">
      <c r="A951" s="85"/>
      <c r="C951" s="2"/>
    </row>
    <row r="952">
      <c r="A952" s="85"/>
      <c r="C952" s="2"/>
    </row>
    <row r="953">
      <c r="A953" s="85"/>
      <c r="C953" s="2"/>
    </row>
    <row r="954">
      <c r="A954" s="85"/>
      <c r="C954" s="2"/>
    </row>
    <row r="955">
      <c r="A955" s="85"/>
      <c r="C955" s="2"/>
    </row>
    <row r="956">
      <c r="A956" s="85"/>
      <c r="C956" s="2"/>
    </row>
    <row r="957">
      <c r="A957" s="85"/>
      <c r="C957" s="2"/>
    </row>
    <row r="958">
      <c r="A958" s="85"/>
      <c r="C958" s="2"/>
    </row>
    <row r="959">
      <c r="A959" s="85"/>
      <c r="C959" s="2"/>
    </row>
    <row r="960">
      <c r="A960" s="85"/>
      <c r="C960" s="2"/>
    </row>
    <row r="961">
      <c r="A961" s="85"/>
      <c r="C961" s="2"/>
    </row>
    <row r="962">
      <c r="A962" s="85"/>
      <c r="C962" s="2"/>
    </row>
    <row r="963">
      <c r="A963" s="85"/>
      <c r="C963" s="2"/>
    </row>
    <row r="964">
      <c r="A964" s="85"/>
      <c r="C964" s="2"/>
    </row>
    <row r="965">
      <c r="A965" s="85"/>
      <c r="C965" s="2"/>
    </row>
    <row r="966">
      <c r="A966" s="85"/>
      <c r="C966" s="2"/>
    </row>
    <row r="967">
      <c r="A967" s="85"/>
      <c r="C967" s="2"/>
    </row>
    <row r="968">
      <c r="A968" s="85"/>
      <c r="C968" s="2"/>
    </row>
    <row r="969">
      <c r="A969" s="85"/>
      <c r="C969" s="2"/>
    </row>
    <row r="970">
      <c r="A970" s="85"/>
      <c r="C970" s="2"/>
    </row>
    <row r="971">
      <c r="A971" s="85"/>
      <c r="C971" s="2"/>
    </row>
    <row r="972">
      <c r="A972" s="85"/>
      <c r="C972" s="2"/>
    </row>
    <row r="973">
      <c r="A973" s="85"/>
      <c r="C973" s="2"/>
    </row>
    <row r="974">
      <c r="A974" s="85"/>
      <c r="C974" s="2"/>
    </row>
    <row r="975">
      <c r="A975" s="85"/>
      <c r="C975" s="2"/>
    </row>
    <row r="976">
      <c r="A976" s="85"/>
      <c r="C976" s="2"/>
    </row>
    <row r="977">
      <c r="A977" s="85"/>
      <c r="C977" s="2"/>
    </row>
    <row r="978">
      <c r="A978" s="85"/>
      <c r="C978" s="2"/>
    </row>
    <row r="979">
      <c r="A979" s="85"/>
      <c r="C979" s="2"/>
    </row>
    <row r="980">
      <c r="A980" s="85"/>
      <c r="C980" s="2"/>
    </row>
    <row r="981">
      <c r="A981" s="85"/>
      <c r="C981" s="2"/>
    </row>
    <row r="982">
      <c r="A982" s="85"/>
      <c r="C982" s="2"/>
    </row>
    <row r="983">
      <c r="A983" s="85"/>
      <c r="C983" s="2"/>
    </row>
    <row r="984">
      <c r="A984" s="85"/>
      <c r="C984" s="2"/>
    </row>
    <row r="985">
      <c r="A985" s="85"/>
      <c r="C985" s="2"/>
    </row>
    <row r="986">
      <c r="A986" s="85"/>
      <c r="C986" s="2"/>
    </row>
    <row r="987">
      <c r="A987" s="85"/>
      <c r="C987" s="2"/>
    </row>
    <row r="988">
      <c r="A988" s="85"/>
      <c r="C988" s="2"/>
    </row>
    <row r="989">
      <c r="A989" s="85"/>
      <c r="C989" s="2"/>
    </row>
    <row r="990">
      <c r="A990" s="85"/>
      <c r="C990" s="2"/>
    </row>
    <row r="991">
      <c r="A991" s="85"/>
      <c r="C991" s="2"/>
    </row>
    <row r="992">
      <c r="A992" s="85"/>
      <c r="C992" s="2"/>
    </row>
    <row r="993">
      <c r="A993" s="85"/>
      <c r="C993" s="2"/>
    </row>
    <row r="994">
      <c r="A994" s="85"/>
      <c r="C994" s="2"/>
    </row>
    <row r="995">
      <c r="A995" s="85"/>
      <c r="C995" s="2"/>
    </row>
    <row r="996">
      <c r="A996" s="85"/>
      <c r="C996" s="2"/>
    </row>
    <row r="997">
      <c r="A997" s="85"/>
      <c r="C997" s="2"/>
    </row>
    <row r="998">
      <c r="A998" s="85"/>
      <c r="C998" s="2"/>
    </row>
    <row r="999">
      <c r="A999" s="85"/>
      <c r="C999" s="2"/>
    </row>
    <row r="1000">
      <c r="A1000" s="85"/>
      <c r="C1000" s="2"/>
    </row>
    <row r="1001">
      <c r="A1001" s="85"/>
      <c r="C1001" s="2"/>
    </row>
    <row r="1002">
      <c r="A1002" s="85"/>
      <c r="C1002" s="2"/>
    </row>
    <row r="1003">
      <c r="A1003" s="85"/>
      <c r="C1003" s="2"/>
    </row>
    <row r="1004">
      <c r="A1004" s="85"/>
      <c r="C1004" s="2"/>
    </row>
    <row r="1005">
      <c r="A1005" s="85"/>
      <c r="C1005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4" max="4" width="24.13"/>
  </cols>
  <sheetData>
    <row r="1">
      <c r="A1" s="76" t="s">
        <v>17</v>
      </c>
      <c r="B1" s="8" t="s">
        <v>4</v>
      </c>
      <c r="C1" s="74" t="s">
        <v>5</v>
      </c>
    </row>
    <row r="2">
      <c r="A2" s="76">
        <v>45406.0</v>
      </c>
      <c r="B2" s="6" t="s">
        <v>578</v>
      </c>
      <c r="C2" s="3">
        <v>20000.0</v>
      </c>
      <c r="E2" s="6" t="s">
        <v>27</v>
      </c>
      <c r="F2" s="2">
        <f>sum(C2:C999)</f>
        <v>377367.94</v>
      </c>
    </row>
    <row r="3">
      <c r="A3" s="76">
        <v>45432.0</v>
      </c>
      <c r="B3" s="6" t="s">
        <v>578</v>
      </c>
      <c r="C3" s="3">
        <v>357367.94</v>
      </c>
    </row>
    <row r="4">
      <c r="A4" s="76"/>
      <c r="C4" s="3"/>
    </row>
    <row r="5">
      <c r="A5" s="86"/>
      <c r="C5" s="2"/>
    </row>
    <row r="6">
      <c r="A6" s="86"/>
      <c r="C6" s="3"/>
    </row>
    <row r="7">
      <c r="A7" s="86"/>
      <c r="C7" s="2"/>
    </row>
    <row r="8">
      <c r="A8" s="86"/>
      <c r="C8" s="2"/>
    </row>
    <row r="9">
      <c r="A9" s="86"/>
      <c r="C9" s="2"/>
    </row>
    <row r="10">
      <c r="A10" s="86"/>
      <c r="C10" s="2"/>
    </row>
    <row r="11">
      <c r="A11" s="86"/>
      <c r="C11" s="2"/>
    </row>
    <row r="12">
      <c r="A12" s="86"/>
      <c r="C12" s="2"/>
    </row>
    <row r="13">
      <c r="A13" s="86"/>
      <c r="C13" s="2"/>
    </row>
    <row r="14">
      <c r="A14" s="86"/>
      <c r="C14" s="2"/>
    </row>
    <row r="15">
      <c r="A15" s="86"/>
      <c r="C15" s="2"/>
    </row>
    <row r="16">
      <c r="A16" s="86"/>
      <c r="C16" s="2"/>
    </row>
    <row r="17">
      <c r="A17" s="86"/>
      <c r="C17" s="2"/>
    </row>
    <row r="18">
      <c r="A18" s="86"/>
      <c r="C18" s="2"/>
    </row>
    <row r="19">
      <c r="A19" s="86"/>
      <c r="C19" s="2"/>
    </row>
    <row r="20">
      <c r="A20" s="86"/>
      <c r="C20" s="2"/>
    </row>
    <row r="21">
      <c r="A21" s="86"/>
      <c r="C21" s="2"/>
      <c r="O21" s="6">
        <v>110000.0</v>
      </c>
    </row>
    <row r="22">
      <c r="A22" s="86"/>
      <c r="C22" s="2"/>
    </row>
    <row r="23">
      <c r="A23" s="86"/>
      <c r="C23" s="2"/>
    </row>
    <row r="24">
      <c r="A24" s="86"/>
      <c r="C24" s="2"/>
    </row>
    <row r="25">
      <c r="A25" s="86"/>
      <c r="C25" s="2"/>
    </row>
    <row r="26">
      <c r="A26" s="86"/>
      <c r="C26" s="2"/>
    </row>
    <row r="27">
      <c r="A27" s="86"/>
      <c r="C27" s="2"/>
    </row>
    <row r="28">
      <c r="A28" s="86"/>
      <c r="C28" s="2"/>
    </row>
    <row r="29">
      <c r="A29" s="86"/>
      <c r="C29" s="2"/>
    </row>
    <row r="30">
      <c r="A30" s="86"/>
      <c r="C30" s="2"/>
    </row>
    <row r="31">
      <c r="A31" s="86"/>
      <c r="C31" s="2"/>
    </row>
    <row r="32">
      <c r="A32" s="86"/>
      <c r="C32" s="2"/>
    </row>
    <row r="33">
      <c r="A33" s="86"/>
      <c r="C33" s="2"/>
    </row>
    <row r="34">
      <c r="A34" s="86"/>
      <c r="C34" s="2"/>
    </row>
    <row r="35">
      <c r="A35" s="86"/>
      <c r="C35" s="2"/>
    </row>
    <row r="36">
      <c r="A36" s="86"/>
      <c r="C36" s="2"/>
    </row>
    <row r="37">
      <c r="A37" s="86"/>
      <c r="C37" s="2"/>
    </row>
    <row r="38">
      <c r="A38" s="86"/>
      <c r="C38" s="2"/>
    </row>
    <row r="39">
      <c r="A39" s="86"/>
      <c r="C39" s="2"/>
    </row>
    <row r="40">
      <c r="A40" s="86"/>
      <c r="C40" s="2"/>
    </row>
    <row r="41">
      <c r="A41" s="86"/>
      <c r="C41" s="2"/>
    </row>
    <row r="42">
      <c r="A42" s="86"/>
      <c r="C42" s="2"/>
    </row>
    <row r="43">
      <c r="A43" s="86"/>
      <c r="C43" s="2"/>
    </row>
    <row r="44">
      <c r="A44" s="86"/>
      <c r="C44" s="2"/>
    </row>
    <row r="45">
      <c r="A45" s="86"/>
      <c r="C45" s="2"/>
    </row>
    <row r="46">
      <c r="A46" s="86"/>
      <c r="C46" s="2"/>
    </row>
    <row r="47">
      <c r="A47" s="86"/>
      <c r="C47" s="2"/>
    </row>
    <row r="48">
      <c r="A48" s="86"/>
      <c r="C48" s="2"/>
    </row>
    <row r="49">
      <c r="A49" s="86"/>
      <c r="C49" s="2"/>
    </row>
    <row r="50">
      <c r="A50" s="86"/>
      <c r="C50" s="2"/>
    </row>
    <row r="51">
      <c r="A51" s="86"/>
      <c r="C51" s="2"/>
    </row>
    <row r="52">
      <c r="A52" s="86"/>
      <c r="C52" s="2"/>
    </row>
    <row r="53">
      <c r="A53" s="86"/>
      <c r="C53" s="2"/>
    </row>
    <row r="54">
      <c r="A54" s="86"/>
      <c r="C54" s="2"/>
    </row>
    <row r="55">
      <c r="A55" s="86"/>
      <c r="C55" s="2"/>
    </row>
    <row r="56">
      <c r="A56" s="86"/>
      <c r="C56" s="2"/>
    </row>
    <row r="57">
      <c r="A57" s="86"/>
      <c r="C57" s="2"/>
    </row>
    <row r="58">
      <c r="A58" s="86"/>
      <c r="C58" s="2"/>
    </row>
    <row r="59">
      <c r="A59" s="86"/>
      <c r="C59" s="2"/>
    </row>
    <row r="60">
      <c r="A60" s="86"/>
      <c r="C60" s="2"/>
    </row>
    <row r="61">
      <c r="A61" s="86"/>
      <c r="C61" s="2"/>
    </row>
    <row r="62">
      <c r="A62" s="86"/>
      <c r="C62" s="2"/>
    </row>
    <row r="63">
      <c r="A63" s="86"/>
      <c r="C63" s="2"/>
    </row>
    <row r="64">
      <c r="A64" s="86"/>
      <c r="C64" s="2"/>
    </row>
    <row r="65">
      <c r="A65" s="86"/>
      <c r="C65" s="2"/>
    </row>
    <row r="66">
      <c r="A66" s="86"/>
      <c r="C66" s="2"/>
    </row>
    <row r="67">
      <c r="A67" s="86"/>
      <c r="C67" s="2"/>
    </row>
    <row r="68">
      <c r="A68" s="86"/>
      <c r="C68" s="2"/>
    </row>
    <row r="69">
      <c r="A69" s="86"/>
      <c r="C69" s="2"/>
    </row>
    <row r="70">
      <c r="A70" s="86"/>
      <c r="C70" s="2"/>
    </row>
    <row r="71">
      <c r="A71" s="86"/>
      <c r="C71" s="2"/>
    </row>
    <row r="72">
      <c r="A72" s="86"/>
      <c r="C72" s="2"/>
    </row>
    <row r="73">
      <c r="A73" s="86"/>
      <c r="C73" s="2"/>
    </row>
    <row r="74">
      <c r="A74" s="86"/>
      <c r="C74" s="2"/>
    </row>
    <row r="75">
      <c r="A75" s="86"/>
      <c r="C75" s="2"/>
    </row>
    <row r="76">
      <c r="A76" s="86"/>
      <c r="C76" s="2"/>
    </row>
    <row r="77">
      <c r="A77" s="86"/>
      <c r="C77" s="2"/>
    </row>
    <row r="78">
      <c r="A78" s="86"/>
      <c r="C78" s="2"/>
    </row>
    <row r="79">
      <c r="A79" s="86"/>
      <c r="C79" s="2"/>
    </row>
    <row r="80">
      <c r="A80" s="86"/>
      <c r="C80" s="2"/>
    </row>
    <row r="81">
      <c r="A81" s="86"/>
      <c r="C81" s="2"/>
    </row>
    <row r="82">
      <c r="A82" s="86"/>
      <c r="C82" s="2"/>
    </row>
    <row r="83">
      <c r="A83" s="86"/>
      <c r="C83" s="2"/>
    </row>
    <row r="84">
      <c r="A84" s="86"/>
      <c r="C84" s="2"/>
    </row>
    <row r="85">
      <c r="A85" s="86"/>
      <c r="C85" s="2"/>
    </row>
    <row r="86">
      <c r="A86" s="86"/>
      <c r="C86" s="2"/>
    </row>
    <row r="87">
      <c r="A87" s="86"/>
      <c r="C87" s="2"/>
    </row>
    <row r="88">
      <c r="A88" s="86"/>
      <c r="C88" s="2"/>
    </row>
    <row r="89">
      <c r="A89" s="86"/>
      <c r="C89" s="2"/>
    </row>
    <row r="90">
      <c r="A90" s="86"/>
      <c r="C90" s="2"/>
    </row>
    <row r="91">
      <c r="A91" s="86"/>
      <c r="C91" s="2"/>
    </row>
    <row r="92">
      <c r="A92" s="86"/>
      <c r="C92" s="2"/>
    </row>
    <row r="93">
      <c r="A93" s="86"/>
      <c r="C93" s="2"/>
    </row>
    <row r="94">
      <c r="A94" s="86"/>
      <c r="C94" s="2"/>
    </row>
    <row r="95">
      <c r="A95" s="86"/>
      <c r="C95" s="2"/>
    </row>
    <row r="96">
      <c r="A96" s="86"/>
      <c r="C96" s="2"/>
    </row>
    <row r="97">
      <c r="A97" s="86"/>
      <c r="C97" s="2"/>
    </row>
    <row r="98">
      <c r="A98" s="86"/>
      <c r="C98" s="2"/>
    </row>
    <row r="99">
      <c r="A99" s="86"/>
      <c r="C99" s="2"/>
    </row>
    <row r="100">
      <c r="A100" s="86"/>
      <c r="C100" s="2"/>
    </row>
    <row r="101">
      <c r="A101" s="86"/>
      <c r="C101" s="2"/>
    </row>
    <row r="102">
      <c r="A102" s="86"/>
      <c r="C102" s="2"/>
    </row>
    <row r="103">
      <c r="A103" s="86"/>
      <c r="C103" s="2"/>
    </row>
    <row r="104">
      <c r="A104" s="86"/>
      <c r="C104" s="2"/>
    </row>
    <row r="105">
      <c r="A105" s="86"/>
      <c r="C105" s="2"/>
    </row>
    <row r="106">
      <c r="A106" s="86"/>
      <c r="C106" s="2"/>
    </row>
    <row r="107">
      <c r="A107" s="86"/>
      <c r="C107" s="2"/>
    </row>
    <row r="108">
      <c r="A108" s="86"/>
      <c r="C108" s="2"/>
    </row>
    <row r="109">
      <c r="A109" s="86"/>
      <c r="C109" s="2"/>
    </row>
    <row r="110">
      <c r="A110" s="86"/>
      <c r="C110" s="2"/>
    </row>
    <row r="111">
      <c r="A111" s="86"/>
      <c r="C111" s="2"/>
    </row>
    <row r="112">
      <c r="A112" s="86"/>
      <c r="C112" s="2"/>
    </row>
    <row r="113">
      <c r="A113" s="86"/>
      <c r="C113" s="2"/>
    </row>
    <row r="114">
      <c r="A114" s="86"/>
      <c r="C114" s="2"/>
    </row>
    <row r="115">
      <c r="A115" s="86"/>
      <c r="C115" s="2"/>
    </row>
    <row r="116">
      <c r="A116" s="86"/>
      <c r="C116" s="2"/>
    </row>
    <row r="117">
      <c r="A117" s="86"/>
      <c r="C117" s="2"/>
    </row>
    <row r="118">
      <c r="A118" s="86"/>
      <c r="C118" s="2"/>
    </row>
    <row r="119">
      <c r="A119" s="86"/>
      <c r="C119" s="2"/>
    </row>
    <row r="120">
      <c r="A120" s="86"/>
      <c r="C120" s="2"/>
    </row>
    <row r="121">
      <c r="A121" s="86"/>
      <c r="C121" s="2"/>
    </row>
    <row r="122">
      <c r="A122" s="86"/>
      <c r="C122" s="2"/>
    </row>
    <row r="123">
      <c r="A123" s="86"/>
      <c r="C123" s="2"/>
    </row>
    <row r="124">
      <c r="A124" s="86"/>
      <c r="C124" s="2"/>
    </row>
    <row r="125">
      <c r="A125" s="86"/>
      <c r="C125" s="2"/>
    </row>
    <row r="126">
      <c r="A126" s="86"/>
      <c r="C126" s="2"/>
    </row>
    <row r="127">
      <c r="A127" s="86"/>
      <c r="C127" s="2"/>
    </row>
    <row r="128">
      <c r="A128" s="86"/>
      <c r="C128" s="2"/>
    </row>
    <row r="129">
      <c r="A129" s="86"/>
      <c r="C129" s="2"/>
    </row>
    <row r="130">
      <c r="A130" s="86"/>
      <c r="C130" s="2"/>
    </row>
    <row r="131">
      <c r="A131" s="86"/>
      <c r="C131" s="2"/>
    </row>
    <row r="132">
      <c r="A132" s="86"/>
      <c r="C132" s="2"/>
    </row>
    <row r="133">
      <c r="A133" s="86"/>
      <c r="C133" s="2"/>
    </row>
    <row r="134">
      <c r="A134" s="86"/>
      <c r="C134" s="2"/>
    </row>
    <row r="135">
      <c r="A135" s="86"/>
      <c r="C135" s="2"/>
    </row>
    <row r="136">
      <c r="A136" s="86"/>
      <c r="C136" s="2"/>
    </row>
    <row r="137">
      <c r="A137" s="86"/>
      <c r="C137" s="2"/>
    </row>
    <row r="138">
      <c r="A138" s="86"/>
      <c r="C138" s="2"/>
    </row>
    <row r="139">
      <c r="A139" s="86"/>
      <c r="C139" s="2"/>
    </row>
    <row r="140">
      <c r="A140" s="86"/>
      <c r="C140" s="2"/>
    </row>
    <row r="141">
      <c r="A141" s="86"/>
      <c r="C141" s="2"/>
    </row>
    <row r="142">
      <c r="A142" s="86"/>
      <c r="C142" s="2"/>
    </row>
    <row r="143">
      <c r="A143" s="86"/>
      <c r="C143" s="2"/>
    </row>
    <row r="144">
      <c r="A144" s="86"/>
      <c r="C144" s="2"/>
    </row>
    <row r="145">
      <c r="A145" s="86"/>
      <c r="C145" s="2"/>
    </row>
    <row r="146">
      <c r="A146" s="86"/>
      <c r="C146" s="2"/>
    </row>
    <row r="147">
      <c r="A147" s="86"/>
      <c r="C147" s="2"/>
    </row>
    <row r="148">
      <c r="A148" s="86"/>
      <c r="C148" s="2"/>
    </row>
    <row r="149">
      <c r="A149" s="86"/>
      <c r="C149" s="2"/>
    </row>
    <row r="150">
      <c r="A150" s="86"/>
      <c r="C150" s="2"/>
    </row>
    <row r="151">
      <c r="A151" s="86"/>
      <c r="C151" s="2"/>
    </row>
    <row r="152">
      <c r="A152" s="86"/>
      <c r="C152" s="2"/>
    </row>
    <row r="153">
      <c r="A153" s="86"/>
      <c r="C153" s="2"/>
    </row>
    <row r="154">
      <c r="A154" s="86"/>
      <c r="C154" s="2"/>
    </row>
    <row r="155">
      <c r="A155" s="86"/>
      <c r="C155" s="2"/>
    </row>
    <row r="156">
      <c r="A156" s="86"/>
      <c r="C156" s="2"/>
    </row>
    <row r="157">
      <c r="A157" s="86"/>
      <c r="C157" s="2"/>
    </row>
    <row r="158">
      <c r="A158" s="86"/>
      <c r="C158" s="2"/>
    </row>
    <row r="159">
      <c r="A159" s="86"/>
      <c r="C159" s="2"/>
    </row>
    <row r="160">
      <c r="A160" s="86"/>
      <c r="C160" s="2"/>
    </row>
    <row r="161">
      <c r="A161" s="86"/>
      <c r="C161" s="2"/>
    </row>
    <row r="162">
      <c r="A162" s="86"/>
      <c r="C162" s="2"/>
    </row>
    <row r="163">
      <c r="A163" s="86"/>
      <c r="C163" s="2"/>
    </row>
    <row r="164">
      <c r="A164" s="86"/>
      <c r="C164" s="2"/>
    </row>
    <row r="165">
      <c r="A165" s="86"/>
      <c r="C165" s="2"/>
    </row>
    <row r="166">
      <c r="A166" s="86"/>
      <c r="C166" s="2"/>
    </row>
    <row r="167">
      <c r="A167" s="86"/>
      <c r="C167" s="2"/>
    </row>
    <row r="168">
      <c r="A168" s="86"/>
      <c r="C168" s="2"/>
    </row>
    <row r="169">
      <c r="A169" s="86"/>
      <c r="C169" s="2"/>
    </row>
    <row r="170">
      <c r="A170" s="86"/>
      <c r="C170" s="2"/>
    </row>
    <row r="171">
      <c r="A171" s="86"/>
      <c r="C171" s="2"/>
    </row>
    <row r="172">
      <c r="A172" s="86"/>
      <c r="C172" s="2"/>
    </row>
    <row r="173">
      <c r="A173" s="86"/>
      <c r="C173" s="2"/>
    </row>
    <row r="174">
      <c r="A174" s="86"/>
      <c r="C174" s="2"/>
    </row>
    <row r="175">
      <c r="A175" s="86"/>
      <c r="C175" s="2"/>
    </row>
    <row r="176">
      <c r="A176" s="86"/>
      <c r="C176" s="2"/>
    </row>
    <row r="177">
      <c r="A177" s="86"/>
      <c r="C177" s="2"/>
    </row>
    <row r="178">
      <c r="A178" s="86"/>
      <c r="C178" s="2"/>
    </row>
    <row r="179">
      <c r="A179" s="86"/>
      <c r="C179" s="2"/>
    </row>
    <row r="180">
      <c r="A180" s="86"/>
      <c r="C180" s="2"/>
    </row>
    <row r="181">
      <c r="A181" s="86"/>
      <c r="C181" s="2"/>
    </row>
    <row r="182">
      <c r="A182" s="86"/>
      <c r="C182" s="2"/>
    </row>
    <row r="183">
      <c r="A183" s="86"/>
      <c r="C183" s="2"/>
    </row>
    <row r="184">
      <c r="A184" s="86"/>
      <c r="C184" s="2"/>
    </row>
    <row r="185">
      <c r="A185" s="86"/>
      <c r="C185" s="2"/>
    </row>
    <row r="186">
      <c r="A186" s="86"/>
      <c r="C186" s="2"/>
    </row>
    <row r="187">
      <c r="A187" s="86"/>
      <c r="C187" s="2"/>
    </row>
    <row r="188">
      <c r="A188" s="86"/>
      <c r="C188" s="2"/>
    </row>
    <row r="189">
      <c r="A189" s="86"/>
      <c r="C189" s="2"/>
    </row>
    <row r="190">
      <c r="A190" s="86"/>
      <c r="C190" s="2"/>
    </row>
    <row r="191">
      <c r="A191" s="86"/>
      <c r="C191" s="2"/>
    </row>
    <row r="192">
      <c r="A192" s="86"/>
      <c r="C192" s="2"/>
    </row>
    <row r="193">
      <c r="A193" s="86"/>
      <c r="C193" s="2"/>
    </row>
    <row r="194">
      <c r="A194" s="86"/>
      <c r="C194" s="2"/>
    </row>
    <row r="195">
      <c r="A195" s="86"/>
      <c r="C195" s="2"/>
    </row>
    <row r="196">
      <c r="A196" s="86"/>
      <c r="C196" s="2"/>
    </row>
    <row r="197">
      <c r="A197" s="86"/>
      <c r="C197" s="2"/>
    </row>
    <row r="198">
      <c r="A198" s="86"/>
      <c r="C198" s="2"/>
    </row>
    <row r="199">
      <c r="A199" s="86"/>
      <c r="C199" s="2"/>
    </row>
    <row r="200">
      <c r="A200" s="86"/>
      <c r="C200" s="2"/>
    </row>
    <row r="201">
      <c r="A201" s="86"/>
      <c r="C201" s="2"/>
    </row>
    <row r="202">
      <c r="A202" s="86"/>
      <c r="C202" s="2"/>
    </row>
    <row r="203">
      <c r="A203" s="86"/>
      <c r="C203" s="2"/>
    </row>
    <row r="204">
      <c r="A204" s="86"/>
      <c r="C204" s="2"/>
    </row>
    <row r="205">
      <c r="A205" s="86"/>
      <c r="C205" s="2"/>
    </row>
    <row r="206">
      <c r="A206" s="86"/>
      <c r="C206" s="2"/>
    </row>
    <row r="207">
      <c r="A207" s="86"/>
      <c r="C207" s="2"/>
    </row>
    <row r="208">
      <c r="A208" s="86"/>
      <c r="C208" s="2"/>
    </row>
    <row r="209">
      <c r="A209" s="86"/>
      <c r="C209" s="2"/>
    </row>
    <row r="210">
      <c r="A210" s="86"/>
      <c r="C210" s="2"/>
    </row>
    <row r="211">
      <c r="A211" s="86"/>
      <c r="C211" s="2"/>
    </row>
    <row r="212">
      <c r="A212" s="86"/>
      <c r="C212" s="2"/>
    </row>
    <row r="213">
      <c r="A213" s="86"/>
      <c r="C213" s="2"/>
    </row>
    <row r="214">
      <c r="A214" s="86"/>
      <c r="C214" s="2"/>
    </row>
    <row r="215">
      <c r="A215" s="86"/>
      <c r="C215" s="2"/>
    </row>
    <row r="216">
      <c r="A216" s="86"/>
      <c r="C216" s="2"/>
    </row>
    <row r="217">
      <c r="A217" s="86"/>
      <c r="C217" s="2"/>
    </row>
    <row r="218">
      <c r="A218" s="86"/>
      <c r="C218" s="2"/>
    </row>
    <row r="219">
      <c r="A219" s="86"/>
      <c r="C219" s="2"/>
    </row>
    <row r="220">
      <c r="A220" s="86"/>
      <c r="C220" s="2"/>
    </row>
    <row r="221">
      <c r="A221" s="86"/>
      <c r="C221" s="2"/>
    </row>
    <row r="222">
      <c r="A222" s="86"/>
      <c r="C222" s="2"/>
    </row>
    <row r="223">
      <c r="A223" s="86"/>
      <c r="C223" s="2"/>
    </row>
    <row r="224">
      <c r="A224" s="86"/>
      <c r="C224" s="2"/>
    </row>
    <row r="225">
      <c r="A225" s="86"/>
      <c r="C225" s="2"/>
    </row>
    <row r="226">
      <c r="A226" s="86"/>
      <c r="C226" s="2"/>
    </row>
    <row r="227">
      <c r="A227" s="86"/>
      <c r="C227" s="2"/>
    </row>
    <row r="228">
      <c r="A228" s="86"/>
      <c r="C228" s="2"/>
    </row>
    <row r="229">
      <c r="A229" s="86"/>
      <c r="C229" s="2"/>
    </row>
    <row r="230">
      <c r="A230" s="86"/>
      <c r="C230" s="2"/>
    </row>
    <row r="231">
      <c r="A231" s="86"/>
      <c r="C231" s="2"/>
    </row>
    <row r="232">
      <c r="A232" s="86"/>
      <c r="C232" s="2"/>
    </row>
    <row r="233">
      <c r="A233" s="86"/>
      <c r="C233" s="2"/>
    </row>
    <row r="234">
      <c r="A234" s="86"/>
      <c r="C234" s="2"/>
    </row>
    <row r="235">
      <c r="A235" s="86"/>
      <c r="C235" s="2"/>
    </row>
    <row r="236">
      <c r="A236" s="86"/>
      <c r="C236" s="2"/>
    </row>
    <row r="237">
      <c r="A237" s="86"/>
      <c r="C237" s="2"/>
    </row>
    <row r="238">
      <c r="A238" s="86"/>
      <c r="C238" s="2"/>
    </row>
    <row r="239">
      <c r="A239" s="86"/>
      <c r="C239" s="2"/>
    </row>
    <row r="240">
      <c r="A240" s="86"/>
      <c r="C240" s="2"/>
    </row>
    <row r="241">
      <c r="A241" s="86"/>
      <c r="C241" s="2"/>
    </row>
    <row r="242">
      <c r="A242" s="86"/>
      <c r="C242" s="2"/>
    </row>
    <row r="243">
      <c r="A243" s="86"/>
      <c r="C243" s="2"/>
    </row>
    <row r="244">
      <c r="A244" s="86"/>
      <c r="C244" s="2"/>
    </row>
    <row r="245">
      <c r="A245" s="86"/>
      <c r="C245" s="2"/>
    </row>
    <row r="246">
      <c r="A246" s="86"/>
      <c r="C246" s="2"/>
    </row>
    <row r="247">
      <c r="A247" s="86"/>
      <c r="C247" s="2"/>
    </row>
    <row r="248">
      <c r="A248" s="86"/>
      <c r="C248" s="2"/>
    </row>
    <row r="249">
      <c r="A249" s="86"/>
      <c r="C249" s="2"/>
    </row>
    <row r="250">
      <c r="A250" s="86"/>
      <c r="C250" s="2"/>
    </row>
    <row r="251">
      <c r="A251" s="86"/>
      <c r="C251" s="2"/>
    </row>
    <row r="252">
      <c r="A252" s="86"/>
      <c r="C252" s="2"/>
    </row>
    <row r="253">
      <c r="A253" s="86"/>
      <c r="C253" s="2"/>
    </row>
    <row r="254">
      <c r="A254" s="86"/>
      <c r="C254" s="2"/>
    </row>
    <row r="255">
      <c r="A255" s="86"/>
      <c r="C255" s="2"/>
    </row>
    <row r="256">
      <c r="A256" s="86"/>
      <c r="C256" s="2"/>
    </row>
    <row r="257">
      <c r="A257" s="86"/>
      <c r="C257" s="2"/>
    </row>
    <row r="258">
      <c r="A258" s="86"/>
      <c r="C258" s="2"/>
    </row>
    <row r="259">
      <c r="A259" s="86"/>
      <c r="C259" s="2"/>
    </row>
    <row r="260">
      <c r="A260" s="86"/>
      <c r="C260" s="2"/>
    </row>
    <row r="261">
      <c r="A261" s="86"/>
      <c r="C261" s="2"/>
    </row>
    <row r="262">
      <c r="A262" s="86"/>
      <c r="C262" s="2"/>
    </row>
    <row r="263">
      <c r="A263" s="86"/>
      <c r="C263" s="2"/>
    </row>
    <row r="264">
      <c r="A264" s="86"/>
      <c r="C264" s="2"/>
    </row>
    <row r="265">
      <c r="A265" s="86"/>
      <c r="C265" s="2"/>
    </row>
    <row r="266">
      <c r="A266" s="86"/>
      <c r="C266" s="2"/>
    </row>
    <row r="267">
      <c r="A267" s="86"/>
      <c r="C267" s="2"/>
    </row>
    <row r="268">
      <c r="A268" s="86"/>
      <c r="C268" s="2"/>
    </row>
    <row r="269">
      <c r="A269" s="86"/>
      <c r="C269" s="2"/>
    </row>
    <row r="270">
      <c r="A270" s="86"/>
      <c r="C270" s="2"/>
    </row>
    <row r="271">
      <c r="A271" s="86"/>
      <c r="C271" s="2"/>
    </row>
    <row r="272">
      <c r="A272" s="86"/>
      <c r="C272" s="2"/>
    </row>
    <row r="273">
      <c r="A273" s="86"/>
      <c r="C273" s="2"/>
    </row>
    <row r="274">
      <c r="A274" s="86"/>
      <c r="C274" s="2"/>
    </row>
    <row r="275">
      <c r="A275" s="86"/>
      <c r="C275" s="2"/>
    </row>
    <row r="276">
      <c r="A276" s="86"/>
      <c r="C276" s="2"/>
    </row>
    <row r="277">
      <c r="A277" s="86"/>
      <c r="C277" s="2"/>
    </row>
    <row r="278">
      <c r="A278" s="86"/>
      <c r="C278" s="2"/>
    </row>
    <row r="279">
      <c r="A279" s="86"/>
      <c r="C279" s="2"/>
    </row>
    <row r="280">
      <c r="A280" s="86"/>
      <c r="C280" s="2"/>
    </row>
    <row r="281">
      <c r="A281" s="86"/>
      <c r="C281" s="2"/>
    </row>
    <row r="282">
      <c r="A282" s="86"/>
      <c r="C282" s="2"/>
    </row>
    <row r="283">
      <c r="A283" s="86"/>
      <c r="C283" s="2"/>
    </row>
    <row r="284">
      <c r="A284" s="86"/>
      <c r="C284" s="2"/>
    </row>
    <row r="285">
      <c r="A285" s="86"/>
      <c r="C285" s="2"/>
    </row>
    <row r="286">
      <c r="A286" s="86"/>
      <c r="C286" s="2"/>
    </row>
    <row r="287">
      <c r="A287" s="86"/>
      <c r="C287" s="2"/>
    </row>
    <row r="288">
      <c r="A288" s="86"/>
      <c r="C288" s="2"/>
    </row>
    <row r="289">
      <c r="A289" s="86"/>
      <c r="C289" s="2"/>
    </row>
    <row r="290">
      <c r="A290" s="86"/>
      <c r="C290" s="2"/>
    </row>
    <row r="291">
      <c r="A291" s="86"/>
      <c r="C291" s="2"/>
    </row>
    <row r="292">
      <c r="A292" s="86"/>
      <c r="C292" s="2"/>
    </row>
    <row r="293">
      <c r="A293" s="86"/>
      <c r="C293" s="2"/>
    </row>
    <row r="294">
      <c r="A294" s="86"/>
      <c r="C294" s="2"/>
    </row>
    <row r="295">
      <c r="A295" s="86"/>
      <c r="C295" s="2"/>
    </row>
    <row r="296">
      <c r="A296" s="86"/>
      <c r="C296" s="2"/>
    </row>
    <row r="297">
      <c r="A297" s="86"/>
      <c r="C297" s="2"/>
    </row>
    <row r="298">
      <c r="A298" s="86"/>
      <c r="C298" s="2"/>
    </row>
    <row r="299">
      <c r="A299" s="86"/>
      <c r="C299" s="2"/>
    </row>
    <row r="300">
      <c r="A300" s="86"/>
      <c r="C300" s="2"/>
    </row>
    <row r="301">
      <c r="A301" s="86"/>
      <c r="C301" s="2"/>
    </row>
    <row r="302">
      <c r="A302" s="86"/>
      <c r="C302" s="2"/>
    </row>
    <row r="303">
      <c r="A303" s="86"/>
      <c r="C303" s="2"/>
    </row>
    <row r="304">
      <c r="A304" s="86"/>
      <c r="C304" s="2"/>
    </row>
    <row r="305">
      <c r="A305" s="86"/>
      <c r="C305" s="2"/>
    </row>
    <row r="306">
      <c r="A306" s="86"/>
      <c r="C306" s="2"/>
    </row>
    <row r="307">
      <c r="A307" s="86"/>
      <c r="C307" s="2"/>
    </row>
    <row r="308">
      <c r="A308" s="86"/>
      <c r="C308" s="2"/>
    </row>
    <row r="309">
      <c r="A309" s="86"/>
      <c r="C309" s="2"/>
    </row>
    <row r="310">
      <c r="A310" s="86"/>
      <c r="C310" s="2"/>
    </row>
    <row r="311">
      <c r="A311" s="86"/>
      <c r="C311" s="2"/>
    </row>
    <row r="312">
      <c r="A312" s="86"/>
      <c r="C312" s="2"/>
    </row>
    <row r="313">
      <c r="A313" s="86"/>
      <c r="C313" s="2"/>
    </row>
    <row r="314">
      <c r="A314" s="86"/>
      <c r="C314" s="2"/>
    </row>
    <row r="315">
      <c r="A315" s="86"/>
      <c r="C315" s="2"/>
    </row>
    <row r="316">
      <c r="A316" s="86"/>
      <c r="C316" s="2"/>
    </row>
    <row r="317">
      <c r="A317" s="86"/>
      <c r="C317" s="2"/>
    </row>
    <row r="318">
      <c r="A318" s="86"/>
      <c r="C318" s="2"/>
    </row>
    <row r="319">
      <c r="A319" s="86"/>
      <c r="C319" s="2"/>
    </row>
    <row r="320">
      <c r="A320" s="86"/>
      <c r="C320" s="2"/>
    </row>
    <row r="321">
      <c r="A321" s="86"/>
      <c r="C321" s="2"/>
    </row>
    <row r="322">
      <c r="A322" s="86"/>
      <c r="C322" s="2"/>
    </row>
    <row r="323">
      <c r="A323" s="86"/>
      <c r="C323" s="2"/>
    </row>
    <row r="324">
      <c r="A324" s="86"/>
      <c r="C324" s="2"/>
    </row>
    <row r="325">
      <c r="A325" s="86"/>
      <c r="C325" s="2"/>
    </row>
    <row r="326">
      <c r="A326" s="86"/>
      <c r="C326" s="2"/>
    </row>
    <row r="327">
      <c r="A327" s="86"/>
      <c r="C327" s="2"/>
    </row>
    <row r="328">
      <c r="A328" s="86"/>
      <c r="C328" s="2"/>
    </row>
    <row r="329">
      <c r="A329" s="86"/>
      <c r="C329" s="2"/>
    </row>
    <row r="330">
      <c r="A330" s="86"/>
      <c r="C330" s="2"/>
    </row>
    <row r="331">
      <c r="A331" s="86"/>
      <c r="C331" s="2"/>
    </row>
    <row r="332">
      <c r="A332" s="86"/>
      <c r="C332" s="2"/>
    </row>
    <row r="333">
      <c r="A333" s="86"/>
      <c r="C333" s="2"/>
    </row>
    <row r="334">
      <c r="A334" s="86"/>
      <c r="C334" s="2"/>
    </row>
    <row r="335">
      <c r="A335" s="86"/>
      <c r="C335" s="2"/>
    </row>
    <row r="336">
      <c r="A336" s="86"/>
      <c r="C336" s="2"/>
    </row>
    <row r="337">
      <c r="A337" s="86"/>
      <c r="C337" s="2"/>
    </row>
    <row r="338">
      <c r="A338" s="86"/>
      <c r="C338" s="2"/>
    </row>
    <row r="339">
      <c r="A339" s="86"/>
      <c r="C339" s="2"/>
    </row>
    <row r="340">
      <c r="A340" s="86"/>
      <c r="C340" s="2"/>
    </row>
    <row r="341">
      <c r="A341" s="86"/>
      <c r="C341" s="2"/>
    </row>
    <row r="342">
      <c r="A342" s="86"/>
      <c r="C342" s="2"/>
    </row>
    <row r="343">
      <c r="A343" s="86"/>
      <c r="C343" s="2"/>
    </row>
    <row r="344">
      <c r="A344" s="86"/>
      <c r="C344" s="2"/>
    </row>
    <row r="345">
      <c r="A345" s="86"/>
      <c r="C345" s="2"/>
    </row>
    <row r="346">
      <c r="A346" s="86"/>
      <c r="C346" s="2"/>
    </row>
    <row r="347">
      <c r="A347" s="86"/>
      <c r="C347" s="2"/>
    </row>
    <row r="348">
      <c r="A348" s="86"/>
      <c r="C348" s="2"/>
    </row>
    <row r="349">
      <c r="A349" s="86"/>
      <c r="C349" s="2"/>
    </row>
    <row r="350">
      <c r="A350" s="86"/>
      <c r="C350" s="2"/>
    </row>
    <row r="351">
      <c r="A351" s="86"/>
      <c r="C351" s="2"/>
    </row>
    <row r="352">
      <c r="A352" s="86"/>
      <c r="C352" s="2"/>
    </row>
    <row r="353">
      <c r="A353" s="86"/>
      <c r="C353" s="2"/>
    </row>
    <row r="354">
      <c r="A354" s="86"/>
      <c r="C354" s="2"/>
    </row>
    <row r="355">
      <c r="A355" s="86"/>
      <c r="C355" s="2"/>
    </row>
    <row r="356">
      <c r="A356" s="86"/>
      <c r="C356" s="2"/>
    </row>
    <row r="357">
      <c r="A357" s="86"/>
      <c r="C357" s="2"/>
    </row>
    <row r="358">
      <c r="A358" s="86"/>
      <c r="C358" s="2"/>
    </row>
    <row r="359">
      <c r="A359" s="86"/>
      <c r="C359" s="2"/>
    </row>
    <row r="360">
      <c r="A360" s="86"/>
      <c r="C360" s="2"/>
    </row>
    <row r="361">
      <c r="A361" s="86"/>
      <c r="C361" s="2"/>
    </row>
    <row r="362">
      <c r="A362" s="86"/>
      <c r="C362" s="2"/>
    </row>
    <row r="363">
      <c r="A363" s="86"/>
      <c r="C363" s="2"/>
    </row>
    <row r="364">
      <c r="A364" s="86"/>
      <c r="C364" s="2"/>
    </row>
    <row r="365">
      <c r="A365" s="86"/>
      <c r="C365" s="2"/>
    </row>
    <row r="366">
      <c r="A366" s="86"/>
      <c r="C366" s="2"/>
    </row>
    <row r="367">
      <c r="A367" s="86"/>
      <c r="C367" s="2"/>
    </row>
    <row r="368">
      <c r="A368" s="86"/>
      <c r="C368" s="2"/>
    </row>
    <row r="369">
      <c r="A369" s="86"/>
      <c r="C369" s="2"/>
    </row>
    <row r="370">
      <c r="A370" s="86"/>
      <c r="C370" s="2"/>
    </row>
    <row r="371">
      <c r="A371" s="86"/>
      <c r="C371" s="2"/>
    </row>
    <row r="372">
      <c r="A372" s="86"/>
      <c r="C372" s="2"/>
    </row>
    <row r="373">
      <c r="A373" s="86"/>
      <c r="C373" s="2"/>
    </row>
    <row r="374">
      <c r="A374" s="86"/>
      <c r="C374" s="2"/>
    </row>
    <row r="375">
      <c r="A375" s="86"/>
      <c r="C375" s="2"/>
    </row>
    <row r="376">
      <c r="A376" s="86"/>
      <c r="C376" s="2"/>
    </row>
    <row r="377">
      <c r="A377" s="86"/>
      <c r="C377" s="2"/>
    </row>
    <row r="378">
      <c r="A378" s="86"/>
      <c r="C378" s="2"/>
    </row>
    <row r="379">
      <c r="A379" s="86"/>
      <c r="C379" s="2"/>
    </row>
    <row r="380">
      <c r="A380" s="86"/>
      <c r="C380" s="2"/>
    </row>
    <row r="381">
      <c r="A381" s="86"/>
      <c r="C381" s="2"/>
    </row>
    <row r="382">
      <c r="A382" s="86"/>
      <c r="C382" s="2"/>
    </row>
    <row r="383">
      <c r="A383" s="86"/>
      <c r="C383" s="2"/>
    </row>
    <row r="384">
      <c r="A384" s="86"/>
      <c r="C384" s="2"/>
    </row>
    <row r="385">
      <c r="A385" s="86"/>
      <c r="C385" s="2"/>
    </row>
    <row r="386">
      <c r="A386" s="86"/>
      <c r="C386" s="2"/>
    </row>
    <row r="387">
      <c r="A387" s="86"/>
      <c r="C387" s="2"/>
    </row>
    <row r="388">
      <c r="A388" s="86"/>
      <c r="C388" s="2"/>
    </row>
    <row r="389">
      <c r="A389" s="86"/>
      <c r="C389" s="2"/>
    </row>
    <row r="390">
      <c r="A390" s="86"/>
      <c r="C390" s="2"/>
    </row>
    <row r="391">
      <c r="A391" s="86"/>
      <c r="C391" s="2"/>
    </row>
    <row r="392">
      <c r="A392" s="86"/>
      <c r="C392" s="2"/>
    </row>
    <row r="393">
      <c r="A393" s="86"/>
      <c r="C393" s="2"/>
    </row>
    <row r="394">
      <c r="A394" s="86"/>
      <c r="C394" s="2"/>
    </row>
    <row r="395">
      <c r="A395" s="86"/>
      <c r="C395" s="2"/>
    </row>
    <row r="396">
      <c r="A396" s="86"/>
      <c r="C396" s="2"/>
    </row>
    <row r="397">
      <c r="A397" s="86"/>
      <c r="C397" s="2"/>
    </row>
    <row r="398">
      <c r="A398" s="86"/>
      <c r="C398" s="2"/>
    </row>
    <row r="399">
      <c r="A399" s="86"/>
      <c r="C399" s="2"/>
    </row>
    <row r="400">
      <c r="A400" s="86"/>
      <c r="C400" s="2"/>
    </row>
    <row r="401">
      <c r="A401" s="86"/>
      <c r="C401" s="2"/>
    </row>
    <row r="402">
      <c r="A402" s="86"/>
      <c r="C402" s="2"/>
    </row>
    <row r="403">
      <c r="A403" s="86"/>
      <c r="C403" s="2"/>
    </row>
    <row r="404">
      <c r="A404" s="86"/>
      <c r="C404" s="2"/>
    </row>
    <row r="405">
      <c r="A405" s="86"/>
      <c r="C405" s="2"/>
    </row>
    <row r="406">
      <c r="A406" s="86"/>
      <c r="C406" s="2"/>
    </row>
    <row r="407">
      <c r="A407" s="86"/>
      <c r="C407" s="2"/>
    </row>
    <row r="408">
      <c r="A408" s="86"/>
      <c r="C408" s="2"/>
    </row>
    <row r="409">
      <c r="A409" s="86"/>
      <c r="C409" s="2"/>
    </row>
    <row r="410">
      <c r="A410" s="86"/>
      <c r="C410" s="2"/>
    </row>
    <row r="411">
      <c r="A411" s="86"/>
      <c r="C411" s="2"/>
    </row>
    <row r="412">
      <c r="A412" s="86"/>
      <c r="C412" s="2"/>
    </row>
    <row r="413">
      <c r="A413" s="86"/>
      <c r="C413" s="2"/>
    </row>
    <row r="414">
      <c r="A414" s="86"/>
      <c r="C414" s="2"/>
    </row>
    <row r="415">
      <c r="A415" s="86"/>
      <c r="C415" s="2"/>
    </row>
    <row r="416">
      <c r="A416" s="86"/>
      <c r="C416" s="2"/>
    </row>
    <row r="417">
      <c r="A417" s="86"/>
      <c r="C417" s="2"/>
    </row>
    <row r="418">
      <c r="A418" s="86"/>
      <c r="C418" s="2"/>
    </row>
    <row r="419">
      <c r="A419" s="86"/>
      <c r="C419" s="2"/>
    </row>
    <row r="420">
      <c r="A420" s="86"/>
      <c r="C420" s="2"/>
    </row>
    <row r="421">
      <c r="A421" s="86"/>
      <c r="C421" s="2"/>
    </row>
    <row r="422">
      <c r="A422" s="86"/>
      <c r="C422" s="2"/>
    </row>
    <row r="423">
      <c r="A423" s="86"/>
      <c r="C423" s="2"/>
    </row>
    <row r="424">
      <c r="A424" s="86"/>
      <c r="C424" s="2"/>
    </row>
    <row r="425">
      <c r="A425" s="86"/>
      <c r="C425" s="2"/>
    </row>
    <row r="426">
      <c r="A426" s="86"/>
      <c r="C426" s="2"/>
    </row>
    <row r="427">
      <c r="A427" s="86"/>
      <c r="C427" s="2"/>
    </row>
    <row r="428">
      <c r="A428" s="86"/>
      <c r="C428" s="2"/>
    </row>
    <row r="429">
      <c r="A429" s="86"/>
      <c r="C429" s="2"/>
    </row>
    <row r="430">
      <c r="A430" s="86"/>
      <c r="C430" s="2"/>
    </row>
    <row r="431">
      <c r="A431" s="86"/>
      <c r="C431" s="2"/>
    </row>
    <row r="432">
      <c r="A432" s="86"/>
      <c r="C432" s="2"/>
    </row>
    <row r="433">
      <c r="A433" s="86"/>
      <c r="C433" s="2"/>
    </row>
    <row r="434">
      <c r="A434" s="86"/>
      <c r="C434" s="2"/>
    </row>
    <row r="435">
      <c r="A435" s="86"/>
      <c r="C435" s="2"/>
    </row>
    <row r="436">
      <c r="A436" s="86"/>
      <c r="C436" s="2"/>
    </row>
    <row r="437">
      <c r="A437" s="86"/>
      <c r="C437" s="2"/>
    </row>
    <row r="438">
      <c r="A438" s="86"/>
      <c r="C438" s="2"/>
    </row>
    <row r="439">
      <c r="A439" s="86"/>
      <c r="C439" s="2"/>
    </row>
    <row r="440">
      <c r="A440" s="86"/>
      <c r="C440" s="2"/>
    </row>
    <row r="441">
      <c r="A441" s="86"/>
      <c r="C441" s="2"/>
    </row>
    <row r="442">
      <c r="A442" s="86"/>
      <c r="C442" s="2"/>
    </row>
    <row r="443">
      <c r="A443" s="86"/>
      <c r="C443" s="2"/>
    </row>
    <row r="444">
      <c r="A444" s="86"/>
      <c r="C444" s="2"/>
    </row>
    <row r="445">
      <c r="A445" s="86"/>
      <c r="C445" s="2"/>
    </row>
    <row r="446">
      <c r="A446" s="86"/>
      <c r="C446" s="2"/>
    </row>
    <row r="447">
      <c r="A447" s="86"/>
      <c r="C447" s="2"/>
    </row>
    <row r="448">
      <c r="A448" s="86"/>
      <c r="C448" s="2"/>
    </row>
    <row r="449">
      <c r="A449" s="86"/>
      <c r="C449" s="2"/>
    </row>
    <row r="450">
      <c r="A450" s="86"/>
      <c r="C450" s="2"/>
    </row>
    <row r="451">
      <c r="A451" s="86"/>
      <c r="C451" s="2"/>
    </row>
    <row r="452">
      <c r="A452" s="86"/>
      <c r="C452" s="2"/>
    </row>
    <row r="453">
      <c r="A453" s="86"/>
      <c r="C453" s="2"/>
    </row>
    <row r="454">
      <c r="A454" s="86"/>
      <c r="C454" s="2"/>
    </row>
    <row r="455">
      <c r="A455" s="86"/>
      <c r="C455" s="2"/>
    </row>
    <row r="456">
      <c r="A456" s="86"/>
      <c r="C456" s="2"/>
    </row>
    <row r="457">
      <c r="A457" s="86"/>
      <c r="C457" s="2"/>
    </row>
    <row r="458">
      <c r="A458" s="86"/>
      <c r="C458" s="2"/>
    </row>
    <row r="459">
      <c r="A459" s="86"/>
      <c r="C459" s="2"/>
    </row>
    <row r="460">
      <c r="A460" s="86"/>
      <c r="C460" s="2"/>
    </row>
    <row r="461">
      <c r="A461" s="86"/>
      <c r="C461" s="2"/>
    </row>
    <row r="462">
      <c r="A462" s="86"/>
      <c r="C462" s="2"/>
    </row>
    <row r="463">
      <c r="A463" s="86"/>
      <c r="C463" s="2"/>
    </row>
    <row r="464">
      <c r="A464" s="86"/>
      <c r="C464" s="2"/>
    </row>
    <row r="465">
      <c r="A465" s="86"/>
      <c r="C465" s="2"/>
    </row>
    <row r="466">
      <c r="A466" s="86"/>
      <c r="C466" s="2"/>
    </row>
    <row r="467">
      <c r="A467" s="86"/>
      <c r="C467" s="2"/>
    </row>
    <row r="468">
      <c r="A468" s="86"/>
      <c r="C468" s="2"/>
    </row>
    <row r="469">
      <c r="A469" s="86"/>
      <c r="C469" s="2"/>
    </row>
    <row r="470">
      <c r="A470" s="86"/>
      <c r="C470" s="2"/>
    </row>
    <row r="471">
      <c r="A471" s="86"/>
      <c r="C471" s="2"/>
    </row>
    <row r="472">
      <c r="A472" s="86"/>
      <c r="C472" s="2"/>
    </row>
    <row r="473">
      <c r="A473" s="86"/>
      <c r="C473" s="2"/>
    </row>
    <row r="474">
      <c r="A474" s="86"/>
      <c r="C474" s="2"/>
    </row>
    <row r="475">
      <c r="A475" s="86"/>
      <c r="C475" s="2"/>
    </row>
    <row r="476">
      <c r="A476" s="86"/>
      <c r="C476" s="2"/>
    </row>
    <row r="477">
      <c r="A477" s="86"/>
      <c r="C477" s="2"/>
    </row>
    <row r="478">
      <c r="A478" s="86"/>
      <c r="C478" s="2"/>
    </row>
    <row r="479">
      <c r="A479" s="86"/>
      <c r="C479" s="2"/>
    </row>
    <row r="480">
      <c r="A480" s="86"/>
      <c r="C480" s="2"/>
    </row>
    <row r="481">
      <c r="A481" s="86"/>
      <c r="C481" s="2"/>
    </row>
    <row r="482">
      <c r="A482" s="86"/>
      <c r="C482" s="2"/>
    </row>
    <row r="483">
      <c r="A483" s="86"/>
      <c r="C483" s="2"/>
    </row>
    <row r="484">
      <c r="A484" s="86"/>
      <c r="C484" s="2"/>
    </row>
    <row r="485">
      <c r="A485" s="86"/>
      <c r="C485" s="2"/>
    </row>
    <row r="486">
      <c r="A486" s="86"/>
      <c r="C486" s="2"/>
    </row>
    <row r="487">
      <c r="A487" s="86"/>
      <c r="C487" s="2"/>
    </row>
    <row r="488">
      <c r="A488" s="86"/>
      <c r="C488" s="2"/>
    </row>
    <row r="489">
      <c r="A489" s="86"/>
      <c r="C489" s="2"/>
    </row>
    <row r="490">
      <c r="A490" s="86"/>
      <c r="C490" s="2"/>
    </row>
    <row r="491">
      <c r="A491" s="86"/>
      <c r="C491" s="2"/>
    </row>
    <row r="492">
      <c r="A492" s="86"/>
      <c r="C492" s="2"/>
    </row>
    <row r="493">
      <c r="A493" s="86"/>
      <c r="C493" s="2"/>
    </row>
    <row r="494">
      <c r="A494" s="86"/>
      <c r="C494" s="2"/>
    </row>
    <row r="495">
      <c r="A495" s="86"/>
      <c r="C495" s="2"/>
    </row>
    <row r="496">
      <c r="A496" s="86"/>
      <c r="C496" s="2"/>
    </row>
    <row r="497">
      <c r="A497" s="86"/>
      <c r="C497" s="2"/>
    </row>
    <row r="498">
      <c r="A498" s="86"/>
      <c r="C498" s="2"/>
    </row>
    <row r="499">
      <c r="A499" s="86"/>
      <c r="C499" s="2"/>
    </row>
    <row r="500">
      <c r="A500" s="86"/>
      <c r="C500" s="2"/>
    </row>
    <row r="501">
      <c r="A501" s="86"/>
      <c r="C501" s="2"/>
    </row>
    <row r="502">
      <c r="A502" s="86"/>
      <c r="C502" s="2"/>
    </row>
    <row r="503">
      <c r="A503" s="86"/>
      <c r="C503" s="2"/>
    </row>
    <row r="504">
      <c r="A504" s="86"/>
      <c r="C504" s="2"/>
    </row>
    <row r="505">
      <c r="A505" s="86"/>
      <c r="C505" s="2"/>
    </row>
    <row r="506">
      <c r="A506" s="86"/>
      <c r="C506" s="2"/>
    </row>
    <row r="507">
      <c r="A507" s="86"/>
      <c r="C507" s="2"/>
    </row>
    <row r="508">
      <c r="A508" s="86"/>
      <c r="C508" s="2"/>
    </row>
    <row r="509">
      <c r="A509" s="86"/>
      <c r="C509" s="2"/>
    </row>
    <row r="510">
      <c r="A510" s="86"/>
      <c r="C510" s="2"/>
    </row>
    <row r="511">
      <c r="A511" s="86"/>
      <c r="C511" s="2"/>
    </row>
    <row r="512">
      <c r="A512" s="86"/>
      <c r="C512" s="2"/>
    </row>
    <row r="513">
      <c r="A513" s="86"/>
      <c r="C513" s="2"/>
    </row>
    <row r="514">
      <c r="A514" s="86"/>
      <c r="C514" s="2"/>
    </row>
    <row r="515">
      <c r="A515" s="86"/>
      <c r="C515" s="2"/>
    </row>
    <row r="516">
      <c r="A516" s="86"/>
      <c r="C516" s="2"/>
    </row>
    <row r="517">
      <c r="A517" s="86"/>
      <c r="C517" s="2"/>
    </row>
    <row r="518">
      <c r="A518" s="86"/>
      <c r="C518" s="2"/>
    </row>
    <row r="519">
      <c r="A519" s="86"/>
      <c r="C519" s="2"/>
    </row>
    <row r="520">
      <c r="A520" s="86"/>
      <c r="C520" s="2"/>
    </row>
    <row r="521">
      <c r="A521" s="86"/>
      <c r="C521" s="2"/>
    </row>
    <row r="522">
      <c r="A522" s="86"/>
      <c r="C522" s="2"/>
    </row>
    <row r="523">
      <c r="A523" s="86"/>
      <c r="C523" s="2"/>
    </row>
    <row r="524">
      <c r="A524" s="86"/>
      <c r="C524" s="2"/>
    </row>
    <row r="525">
      <c r="A525" s="86"/>
      <c r="C525" s="2"/>
    </row>
    <row r="526">
      <c r="A526" s="86"/>
      <c r="C526" s="2"/>
    </row>
    <row r="527">
      <c r="A527" s="86"/>
      <c r="C527" s="2"/>
    </row>
    <row r="528">
      <c r="A528" s="86"/>
      <c r="C528" s="2"/>
    </row>
    <row r="529">
      <c r="A529" s="86"/>
      <c r="C529" s="2"/>
    </row>
    <row r="530">
      <c r="A530" s="86"/>
      <c r="C530" s="2"/>
    </row>
    <row r="531">
      <c r="A531" s="86"/>
      <c r="C531" s="2"/>
    </row>
    <row r="532">
      <c r="A532" s="86"/>
      <c r="C532" s="2"/>
    </row>
    <row r="533">
      <c r="A533" s="86"/>
      <c r="C533" s="2"/>
    </row>
    <row r="534">
      <c r="A534" s="86"/>
      <c r="C534" s="2"/>
    </row>
    <row r="535">
      <c r="A535" s="86"/>
      <c r="C535" s="2"/>
    </row>
    <row r="536">
      <c r="A536" s="86"/>
      <c r="C536" s="2"/>
    </row>
    <row r="537">
      <c r="A537" s="86"/>
      <c r="C537" s="2"/>
    </row>
    <row r="538">
      <c r="A538" s="86"/>
      <c r="C538" s="2"/>
    </row>
    <row r="539">
      <c r="A539" s="86"/>
      <c r="C539" s="2"/>
    </row>
    <row r="540">
      <c r="A540" s="86"/>
      <c r="C540" s="2"/>
    </row>
    <row r="541">
      <c r="A541" s="86"/>
      <c r="C541" s="2"/>
    </row>
    <row r="542">
      <c r="A542" s="86"/>
      <c r="C542" s="2"/>
    </row>
    <row r="543">
      <c r="A543" s="86"/>
      <c r="C543" s="2"/>
    </row>
    <row r="544">
      <c r="A544" s="86"/>
      <c r="C544" s="2"/>
    </row>
    <row r="545">
      <c r="A545" s="86"/>
      <c r="C545" s="2"/>
    </row>
    <row r="546">
      <c r="A546" s="86"/>
      <c r="C546" s="2"/>
    </row>
    <row r="547">
      <c r="A547" s="86"/>
      <c r="C547" s="2"/>
    </row>
    <row r="548">
      <c r="A548" s="86"/>
      <c r="C548" s="2"/>
    </row>
    <row r="549">
      <c r="A549" s="86"/>
      <c r="C549" s="2"/>
    </row>
    <row r="550">
      <c r="A550" s="86"/>
      <c r="C550" s="2"/>
    </row>
    <row r="551">
      <c r="A551" s="86"/>
      <c r="C551" s="2"/>
    </row>
    <row r="552">
      <c r="A552" s="86"/>
      <c r="C552" s="2"/>
    </row>
    <row r="553">
      <c r="A553" s="86"/>
      <c r="C553" s="2"/>
    </row>
    <row r="554">
      <c r="A554" s="86"/>
      <c r="C554" s="2"/>
    </row>
    <row r="555">
      <c r="A555" s="86"/>
      <c r="C555" s="2"/>
    </row>
    <row r="556">
      <c r="A556" s="86"/>
      <c r="C556" s="2"/>
    </row>
    <row r="557">
      <c r="A557" s="86"/>
      <c r="C557" s="2"/>
    </row>
    <row r="558">
      <c r="A558" s="86"/>
      <c r="C558" s="2"/>
    </row>
    <row r="559">
      <c r="A559" s="86"/>
      <c r="C559" s="2"/>
    </row>
    <row r="560">
      <c r="A560" s="86"/>
      <c r="C560" s="2"/>
    </row>
    <row r="561">
      <c r="A561" s="86"/>
      <c r="C561" s="2"/>
    </row>
    <row r="562">
      <c r="A562" s="86"/>
      <c r="C562" s="2"/>
    </row>
    <row r="563">
      <c r="A563" s="86"/>
      <c r="C563" s="2"/>
    </row>
    <row r="564">
      <c r="A564" s="86"/>
      <c r="C564" s="2"/>
    </row>
    <row r="565">
      <c r="A565" s="86"/>
      <c r="C565" s="2"/>
    </row>
    <row r="566">
      <c r="A566" s="86"/>
      <c r="C566" s="2"/>
    </row>
    <row r="567">
      <c r="A567" s="86"/>
      <c r="C567" s="2"/>
    </row>
    <row r="568">
      <c r="A568" s="86"/>
      <c r="C568" s="2"/>
    </row>
    <row r="569">
      <c r="A569" s="86"/>
      <c r="C569" s="2"/>
    </row>
    <row r="570">
      <c r="A570" s="86"/>
      <c r="C570" s="2"/>
    </row>
    <row r="571">
      <c r="A571" s="86"/>
      <c r="C571" s="2"/>
    </row>
    <row r="572">
      <c r="A572" s="86"/>
      <c r="C572" s="2"/>
    </row>
    <row r="573">
      <c r="A573" s="86"/>
      <c r="C573" s="2"/>
    </row>
    <row r="574">
      <c r="A574" s="86"/>
      <c r="C574" s="2"/>
    </row>
    <row r="575">
      <c r="A575" s="86"/>
      <c r="C575" s="2"/>
    </row>
    <row r="576">
      <c r="A576" s="86"/>
      <c r="C576" s="2"/>
    </row>
    <row r="577">
      <c r="A577" s="86"/>
      <c r="C577" s="2"/>
    </row>
    <row r="578">
      <c r="A578" s="86"/>
      <c r="C578" s="2"/>
    </row>
    <row r="579">
      <c r="A579" s="86"/>
      <c r="C579" s="2"/>
    </row>
    <row r="580">
      <c r="A580" s="86"/>
      <c r="C580" s="2"/>
    </row>
    <row r="581">
      <c r="A581" s="86"/>
      <c r="C581" s="2"/>
    </row>
    <row r="582">
      <c r="A582" s="86"/>
      <c r="C582" s="2"/>
    </row>
    <row r="583">
      <c r="A583" s="86"/>
      <c r="C583" s="2"/>
    </row>
    <row r="584">
      <c r="A584" s="86"/>
      <c r="C584" s="2"/>
    </row>
    <row r="585">
      <c r="A585" s="86"/>
      <c r="C585" s="2"/>
    </row>
    <row r="586">
      <c r="A586" s="86"/>
      <c r="C586" s="2"/>
    </row>
    <row r="587">
      <c r="A587" s="86"/>
      <c r="C587" s="2"/>
    </row>
    <row r="588">
      <c r="A588" s="86"/>
      <c r="C588" s="2"/>
    </row>
    <row r="589">
      <c r="A589" s="86"/>
      <c r="C589" s="2"/>
    </row>
    <row r="590">
      <c r="A590" s="86"/>
      <c r="C590" s="2"/>
    </row>
    <row r="591">
      <c r="A591" s="86"/>
      <c r="C591" s="2"/>
    </row>
    <row r="592">
      <c r="A592" s="86"/>
      <c r="C592" s="2"/>
    </row>
    <row r="593">
      <c r="A593" s="86"/>
      <c r="C593" s="2"/>
    </row>
    <row r="594">
      <c r="A594" s="86"/>
      <c r="C594" s="2"/>
    </row>
    <row r="595">
      <c r="A595" s="86"/>
      <c r="C595" s="2"/>
    </row>
    <row r="596">
      <c r="A596" s="86"/>
      <c r="C596" s="2"/>
    </row>
    <row r="597">
      <c r="A597" s="86"/>
      <c r="C597" s="2"/>
    </row>
    <row r="598">
      <c r="A598" s="86"/>
      <c r="C598" s="2"/>
    </row>
    <row r="599">
      <c r="A599" s="86"/>
      <c r="C599" s="2"/>
    </row>
    <row r="600">
      <c r="A600" s="86"/>
      <c r="C600" s="2"/>
    </row>
    <row r="601">
      <c r="A601" s="86"/>
      <c r="C601" s="2"/>
    </row>
    <row r="602">
      <c r="A602" s="86"/>
      <c r="C602" s="2"/>
    </row>
    <row r="603">
      <c r="A603" s="86"/>
      <c r="C603" s="2"/>
    </row>
    <row r="604">
      <c r="A604" s="86"/>
      <c r="C604" s="2"/>
    </row>
    <row r="605">
      <c r="A605" s="86"/>
      <c r="C605" s="2"/>
    </row>
    <row r="606">
      <c r="A606" s="86"/>
      <c r="C606" s="2"/>
    </row>
    <row r="607">
      <c r="A607" s="86"/>
      <c r="C607" s="2"/>
    </row>
    <row r="608">
      <c r="A608" s="86"/>
      <c r="C608" s="2"/>
    </row>
    <row r="609">
      <c r="A609" s="86"/>
      <c r="C609" s="2"/>
    </row>
    <row r="610">
      <c r="A610" s="86"/>
      <c r="C610" s="2"/>
    </row>
    <row r="611">
      <c r="A611" s="86"/>
      <c r="C611" s="2"/>
    </row>
    <row r="612">
      <c r="A612" s="86"/>
      <c r="C612" s="2"/>
    </row>
    <row r="613">
      <c r="A613" s="86"/>
      <c r="C613" s="2"/>
    </row>
    <row r="614">
      <c r="A614" s="86"/>
      <c r="C614" s="2"/>
    </row>
    <row r="615">
      <c r="A615" s="86"/>
      <c r="C615" s="2"/>
    </row>
    <row r="616">
      <c r="A616" s="86"/>
      <c r="C616" s="2"/>
    </row>
    <row r="617">
      <c r="A617" s="86"/>
      <c r="C617" s="2"/>
    </row>
    <row r="618">
      <c r="A618" s="86"/>
      <c r="C618" s="2"/>
    </row>
    <row r="619">
      <c r="A619" s="86"/>
      <c r="C619" s="2"/>
    </row>
    <row r="620">
      <c r="A620" s="86"/>
      <c r="C620" s="2"/>
    </row>
    <row r="621">
      <c r="A621" s="86"/>
      <c r="C621" s="2"/>
    </row>
    <row r="622">
      <c r="A622" s="86"/>
      <c r="C622" s="2"/>
    </row>
    <row r="623">
      <c r="A623" s="86"/>
      <c r="C623" s="2"/>
    </row>
    <row r="624">
      <c r="A624" s="86"/>
      <c r="C624" s="2"/>
    </row>
    <row r="625">
      <c r="A625" s="86"/>
      <c r="C625" s="2"/>
    </row>
    <row r="626">
      <c r="A626" s="86"/>
      <c r="C626" s="2"/>
    </row>
    <row r="627">
      <c r="A627" s="86"/>
      <c r="C627" s="2"/>
    </row>
    <row r="628">
      <c r="A628" s="86"/>
      <c r="C628" s="2"/>
    </row>
    <row r="629">
      <c r="A629" s="86"/>
      <c r="C629" s="2"/>
    </row>
    <row r="630">
      <c r="A630" s="86"/>
      <c r="C630" s="2"/>
    </row>
    <row r="631">
      <c r="A631" s="86"/>
      <c r="C631" s="2"/>
    </row>
    <row r="632">
      <c r="A632" s="86"/>
      <c r="C632" s="2"/>
    </row>
    <row r="633">
      <c r="A633" s="86"/>
      <c r="C633" s="2"/>
    </row>
    <row r="634">
      <c r="A634" s="86"/>
      <c r="C634" s="2"/>
    </row>
    <row r="635">
      <c r="A635" s="86"/>
      <c r="C635" s="2"/>
    </row>
    <row r="636">
      <c r="A636" s="86"/>
      <c r="C636" s="2"/>
    </row>
    <row r="637">
      <c r="A637" s="86"/>
      <c r="C637" s="2"/>
    </row>
    <row r="638">
      <c r="A638" s="86"/>
      <c r="C638" s="2"/>
    </row>
    <row r="639">
      <c r="A639" s="86"/>
      <c r="C639" s="2"/>
    </row>
    <row r="640">
      <c r="A640" s="86"/>
      <c r="C640" s="2"/>
    </row>
    <row r="641">
      <c r="A641" s="86"/>
      <c r="C641" s="2"/>
    </row>
    <row r="642">
      <c r="A642" s="86"/>
      <c r="C642" s="2"/>
    </row>
    <row r="643">
      <c r="A643" s="86"/>
      <c r="C643" s="2"/>
    </row>
    <row r="644">
      <c r="A644" s="86"/>
      <c r="C644" s="2"/>
    </row>
    <row r="645">
      <c r="A645" s="86"/>
      <c r="C645" s="2"/>
    </row>
    <row r="646">
      <c r="A646" s="86"/>
      <c r="C646" s="2"/>
    </row>
    <row r="647">
      <c r="A647" s="86"/>
      <c r="C647" s="2"/>
    </row>
    <row r="648">
      <c r="A648" s="86"/>
      <c r="C648" s="2"/>
    </row>
    <row r="649">
      <c r="A649" s="86"/>
      <c r="C649" s="2"/>
    </row>
    <row r="650">
      <c r="A650" s="86"/>
      <c r="C650" s="2"/>
    </row>
    <row r="651">
      <c r="A651" s="86"/>
      <c r="C651" s="2"/>
    </row>
    <row r="652">
      <c r="A652" s="86"/>
      <c r="C652" s="2"/>
    </row>
    <row r="653">
      <c r="A653" s="86"/>
      <c r="C653" s="2"/>
    </row>
    <row r="654">
      <c r="A654" s="86"/>
      <c r="C654" s="2"/>
    </row>
    <row r="655">
      <c r="A655" s="86"/>
      <c r="C655" s="2"/>
    </row>
    <row r="656">
      <c r="A656" s="86"/>
      <c r="C656" s="2"/>
    </row>
    <row r="657">
      <c r="A657" s="86"/>
      <c r="C657" s="2"/>
    </row>
    <row r="658">
      <c r="A658" s="86"/>
      <c r="C658" s="2"/>
    </row>
    <row r="659">
      <c r="A659" s="86"/>
      <c r="C659" s="2"/>
    </row>
    <row r="660">
      <c r="A660" s="86"/>
      <c r="C660" s="2"/>
    </row>
    <row r="661">
      <c r="A661" s="86"/>
      <c r="C661" s="2"/>
    </row>
    <row r="662">
      <c r="A662" s="86"/>
      <c r="C662" s="2"/>
    </row>
    <row r="663">
      <c r="A663" s="86"/>
      <c r="C663" s="2"/>
    </row>
    <row r="664">
      <c r="A664" s="86"/>
      <c r="C664" s="2"/>
    </row>
    <row r="665">
      <c r="A665" s="86"/>
      <c r="C665" s="2"/>
    </row>
    <row r="666">
      <c r="A666" s="86"/>
      <c r="C666" s="2"/>
    </row>
    <row r="667">
      <c r="A667" s="86"/>
      <c r="C667" s="2"/>
    </row>
    <row r="668">
      <c r="A668" s="86"/>
      <c r="C668" s="2"/>
    </row>
    <row r="669">
      <c r="A669" s="86"/>
      <c r="C669" s="2"/>
    </row>
    <row r="670">
      <c r="A670" s="86"/>
      <c r="C670" s="2"/>
    </row>
    <row r="671">
      <c r="A671" s="86"/>
      <c r="C671" s="2"/>
    </row>
    <row r="672">
      <c r="A672" s="86"/>
      <c r="C672" s="2"/>
    </row>
    <row r="673">
      <c r="A673" s="86"/>
      <c r="C673" s="2"/>
    </row>
    <row r="674">
      <c r="A674" s="86"/>
      <c r="C674" s="2"/>
    </row>
    <row r="675">
      <c r="A675" s="86"/>
      <c r="C675" s="2"/>
    </row>
    <row r="676">
      <c r="A676" s="86"/>
      <c r="C676" s="2"/>
    </row>
    <row r="677">
      <c r="A677" s="86"/>
      <c r="C677" s="2"/>
    </row>
    <row r="678">
      <c r="A678" s="86"/>
      <c r="C678" s="2"/>
    </row>
    <row r="679">
      <c r="A679" s="86"/>
      <c r="C679" s="2"/>
    </row>
    <row r="680">
      <c r="A680" s="86"/>
      <c r="C680" s="2"/>
    </row>
    <row r="681">
      <c r="A681" s="86"/>
      <c r="C681" s="2"/>
    </row>
    <row r="682">
      <c r="A682" s="86"/>
      <c r="C682" s="2"/>
    </row>
    <row r="683">
      <c r="A683" s="86"/>
      <c r="C683" s="2"/>
    </row>
    <row r="684">
      <c r="A684" s="86"/>
      <c r="C684" s="2"/>
    </row>
    <row r="685">
      <c r="A685" s="86"/>
      <c r="C685" s="2"/>
    </row>
    <row r="686">
      <c r="A686" s="86"/>
      <c r="C686" s="2"/>
    </row>
    <row r="687">
      <c r="A687" s="86"/>
      <c r="C687" s="2"/>
    </row>
    <row r="688">
      <c r="A688" s="86"/>
      <c r="C688" s="2"/>
    </row>
    <row r="689">
      <c r="A689" s="86"/>
      <c r="C689" s="2"/>
    </row>
    <row r="690">
      <c r="A690" s="86"/>
      <c r="C690" s="2"/>
    </row>
    <row r="691">
      <c r="A691" s="86"/>
      <c r="C691" s="2"/>
    </row>
    <row r="692">
      <c r="A692" s="86"/>
      <c r="C692" s="2"/>
    </row>
    <row r="693">
      <c r="A693" s="86"/>
      <c r="C693" s="2"/>
    </row>
    <row r="694">
      <c r="A694" s="86"/>
      <c r="C694" s="2"/>
    </row>
    <row r="695">
      <c r="A695" s="86"/>
      <c r="C695" s="2"/>
    </row>
    <row r="696">
      <c r="A696" s="86"/>
      <c r="C696" s="2"/>
    </row>
    <row r="697">
      <c r="A697" s="86"/>
      <c r="C697" s="2"/>
    </row>
    <row r="698">
      <c r="A698" s="86"/>
      <c r="C698" s="2"/>
    </row>
    <row r="699">
      <c r="A699" s="86"/>
      <c r="C699" s="2"/>
    </row>
    <row r="700">
      <c r="A700" s="86"/>
      <c r="C700" s="2"/>
    </row>
    <row r="701">
      <c r="A701" s="86"/>
      <c r="C701" s="2"/>
    </row>
    <row r="702">
      <c r="A702" s="86"/>
      <c r="C702" s="2"/>
    </row>
    <row r="703">
      <c r="A703" s="86"/>
      <c r="C703" s="2"/>
    </row>
    <row r="704">
      <c r="A704" s="86"/>
      <c r="C704" s="2"/>
    </row>
    <row r="705">
      <c r="A705" s="86"/>
      <c r="C705" s="2"/>
    </row>
    <row r="706">
      <c r="A706" s="86"/>
      <c r="C706" s="2"/>
    </row>
    <row r="707">
      <c r="A707" s="86"/>
      <c r="C707" s="2"/>
    </row>
    <row r="708">
      <c r="A708" s="86"/>
      <c r="C708" s="2"/>
    </row>
    <row r="709">
      <c r="A709" s="86"/>
      <c r="C709" s="2"/>
    </row>
    <row r="710">
      <c r="A710" s="86"/>
      <c r="C710" s="2"/>
    </row>
    <row r="711">
      <c r="A711" s="86"/>
      <c r="C711" s="2"/>
    </row>
    <row r="712">
      <c r="A712" s="86"/>
      <c r="C712" s="2"/>
    </row>
    <row r="713">
      <c r="A713" s="86"/>
      <c r="C713" s="2"/>
    </row>
    <row r="714">
      <c r="A714" s="86"/>
      <c r="C714" s="2"/>
    </row>
    <row r="715">
      <c r="A715" s="86"/>
      <c r="C715" s="2"/>
    </row>
    <row r="716">
      <c r="A716" s="86"/>
      <c r="C716" s="2"/>
    </row>
    <row r="717">
      <c r="A717" s="86"/>
      <c r="C717" s="2"/>
    </row>
    <row r="718">
      <c r="A718" s="86"/>
      <c r="C718" s="2"/>
    </row>
    <row r="719">
      <c r="A719" s="86"/>
      <c r="C719" s="2"/>
    </row>
    <row r="720">
      <c r="A720" s="86"/>
      <c r="C720" s="2"/>
    </row>
    <row r="721">
      <c r="A721" s="86"/>
      <c r="C721" s="2"/>
    </row>
    <row r="722">
      <c r="A722" s="86"/>
      <c r="C722" s="2"/>
    </row>
    <row r="723">
      <c r="A723" s="86"/>
      <c r="C723" s="2"/>
    </row>
    <row r="724">
      <c r="A724" s="86"/>
      <c r="C724" s="2"/>
    </row>
    <row r="725">
      <c r="A725" s="86"/>
      <c r="C725" s="2"/>
    </row>
    <row r="726">
      <c r="A726" s="86"/>
      <c r="C726" s="2"/>
    </row>
    <row r="727">
      <c r="A727" s="86"/>
      <c r="C727" s="2"/>
    </row>
    <row r="728">
      <c r="A728" s="86"/>
      <c r="C728" s="2"/>
    </row>
    <row r="729">
      <c r="A729" s="86"/>
      <c r="C729" s="2"/>
    </row>
    <row r="730">
      <c r="A730" s="86"/>
      <c r="C730" s="2"/>
    </row>
    <row r="731">
      <c r="A731" s="86"/>
      <c r="C731" s="2"/>
    </row>
    <row r="732">
      <c r="A732" s="86"/>
      <c r="C732" s="2"/>
    </row>
    <row r="733">
      <c r="A733" s="86"/>
      <c r="C733" s="2"/>
    </row>
    <row r="734">
      <c r="A734" s="86"/>
      <c r="C734" s="2"/>
    </row>
    <row r="735">
      <c r="A735" s="86"/>
      <c r="C735" s="2"/>
    </row>
    <row r="736">
      <c r="A736" s="86"/>
      <c r="C736" s="2"/>
    </row>
    <row r="737">
      <c r="A737" s="86"/>
      <c r="C737" s="2"/>
    </row>
    <row r="738">
      <c r="A738" s="86"/>
      <c r="C738" s="2"/>
    </row>
    <row r="739">
      <c r="A739" s="86"/>
      <c r="C739" s="2"/>
    </row>
    <row r="740">
      <c r="A740" s="86"/>
      <c r="C740" s="2"/>
    </row>
    <row r="741">
      <c r="A741" s="86"/>
      <c r="C741" s="2"/>
    </row>
    <row r="742">
      <c r="A742" s="86"/>
      <c r="C742" s="2"/>
    </row>
    <row r="743">
      <c r="A743" s="86"/>
      <c r="C743" s="2"/>
    </row>
    <row r="744">
      <c r="A744" s="86"/>
      <c r="C744" s="2"/>
    </row>
    <row r="745">
      <c r="A745" s="86"/>
      <c r="C745" s="2"/>
    </row>
    <row r="746">
      <c r="A746" s="86"/>
      <c r="C746" s="2"/>
    </row>
    <row r="747">
      <c r="A747" s="86"/>
      <c r="C747" s="2"/>
    </row>
    <row r="748">
      <c r="A748" s="86"/>
      <c r="C748" s="2"/>
    </row>
    <row r="749">
      <c r="A749" s="86"/>
      <c r="C749" s="2"/>
    </row>
    <row r="750">
      <c r="A750" s="86"/>
      <c r="C750" s="2"/>
    </row>
    <row r="751">
      <c r="A751" s="86"/>
      <c r="C751" s="2"/>
    </row>
    <row r="752">
      <c r="A752" s="86"/>
      <c r="C752" s="2"/>
    </row>
    <row r="753">
      <c r="A753" s="86"/>
      <c r="C753" s="2"/>
    </row>
    <row r="754">
      <c r="A754" s="86"/>
      <c r="C754" s="2"/>
    </row>
    <row r="755">
      <c r="A755" s="86"/>
      <c r="C755" s="2"/>
    </row>
    <row r="756">
      <c r="A756" s="86"/>
      <c r="C756" s="2"/>
    </row>
    <row r="757">
      <c r="A757" s="86"/>
      <c r="C757" s="2"/>
    </row>
    <row r="758">
      <c r="A758" s="86"/>
      <c r="C758" s="2"/>
    </row>
    <row r="759">
      <c r="A759" s="86"/>
      <c r="C759" s="2"/>
    </row>
    <row r="760">
      <c r="A760" s="86"/>
      <c r="C760" s="2"/>
    </row>
    <row r="761">
      <c r="A761" s="86"/>
      <c r="C761" s="2"/>
    </row>
    <row r="762">
      <c r="A762" s="86"/>
      <c r="C762" s="2"/>
    </row>
    <row r="763">
      <c r="A763" s="86"/>
      <c r="C763" s="2"/>
    </row>
    <row r="764">
      <c r="A764" s="86"/>
      <c r="C764" s="2"/>
    </row>
    <row r="765">
      <c r="A765" s="86"/>
      <c r="C765" s="2"/>
    </row>
    <row r="766">
      <c r="A766" s="86"/>
      <c r="C766" s="2"/>
    </row>
    <row r="767">
      <c r="A767" s="86"/>
      <c r="C767" s="2"/>
    </row>
    <row r="768">
      <c r="A768" s="86"/>
      <c r="C768" s="2"/>
    </row>
    <row r="769">
      <c r="A769" s="86"/>
      <c r="C769" s="2"/>
    </row>
    <row r="770">
      <c r="A770" s="86"/>
      <c r="C770" s="2"/>
    </row>
    <row r="771">
      <c r="A771" s="86"/>
      <c r="C771" s="2"/>
    </row>
    <row r="772">
      <c r="A772" s="86"/>
      <c r="C772" s="2"/>
    </row>
    <row r="773">
      <c r="A773" s="86"/>
      <c r="C773" s="2"/>
    </row>
    <row r="774">
      <c r="A774" s="86"/>
      <c r="C774" s="2"/>
    </row>
    <row r="775">
      <c r="A775" s="86"/>
      <c r="C775" s="2"/>
    </row>
    <row r="776">
      <c r="A776" s="86"/>
      <c r="C776" s="2"/>
    </row>
    <row r="777">
      <c r="A777" s="86"/>
      <c r="C777" s="2"/>
    </row>
    <row r="778">
      <c r="A778" s="86"/>
      <c r="C778" s="2"/>
    </row>
    <row r="779">
      <c r="A779" s="86"/>
      <c r="C779" s="2"/>
    </row>
    <row r="780">
      <c r="A780" s="86"/>
      <c r="C780" s="2"/>
    </row>
    <row r="781">
      <c r="A781" s="86"/>
      <c r="C781" s="2"/>
    </row>
    <row r="782">
      <c r="A782" s="86"/>
      <c r="C782" s="2"/>
    </row>
    <row r="783">
      <c r="A783" s="86"/>
      <c r="C783" s="2"/>
    </row>
    <row r="784">
      <c r="A784" s="86"/>
      <c r="C784" s="2"/>
    </row>
    <row r="785">
      <c r="A785" s="86"/>
      <c r="C785" s="2"/>
    </row>
    <row r="786">
      <c r="A786" s="86"/>
      <c r="C786" s="2"/>
    </row>
    <row r="787">
      <c r="A787" s="86"/>
      <c r="C787" s="2"/>
    </row>
    <row r="788">
      <c r="A788" s="86"/>
      <c r="C788" s="2"/>
    </row>
    <row r="789">
      <c r="A789" s="86"/>
      <c r="C789" s="2"/>
    </row>
    <row r="790">
      <c r="A790" s="86"/>
      <c r="C790" s="2"/>
    </row>
    <row r="791">
      <c r="A791" s="86"/>
      <c r="C791" s="2"/>
    </row>
    <row r="792">
      <c r="A792" s="86"/>
      <c r="C792" s="2"/>
    </row>
    <row r="793">
      <c r="A793" s="86"/>
      <c r="C793" s="2"/>
    </row>
    <row r="794">
      <c r="A794" s="86"/>
      <c r="C794" s="2"/>
    </row>
    <row r="795">
      <c r="A795" s="86"/>
      <c r="C795" s="2"/>
    </row>
    <row r="796">
      <c r="A796" s="86"/>
      <c r="C796" s="2"/>
    </row>
    <row r="797">
      <c r="A797" s="86"/>
      <c r="C797" s="2"/>
    </row>
    <row r="798">
      <c r="A798" s="86"/>
      <c r="C798" s="2"/>
    </row>
    <row r="799">
      <c r="A799" s="86"/>
      <c r="C799" s="2"/>
    </row>
    <row r="800">
      <c r="A800" s="86"/>
      <c r="C800" s="2"/>
    </row>
    <row r="801">
      <c r="A801" s="86"/>
      <c r="C801" s="2"/>
    </row>
    <row r="802">
      <c r="A802" s="86"/>
      <c r="C802" s="2"/>
    </row>
    <row r="803">
      <c r="A803" s="86"/>
      <c r="C803" s="2"/>
    </row>
    <row r="804">
      <c r="A804" s="86"/>
      <c r="C804" s="2"/>
    </row>
    <row r="805">
      <c r="A805" s="86"/>
      <c r="C805" s="2"/>
    </row>
    <row r="806">
      <c r="A806" s="86"/>
      <c r="C806" s="2"/>
    </row>
    <row r="807">
      <c r="A807" s="86"/>
      <c r="C807" s="2"/>
    </row>
    <row r="808">
      <c r="A808" s="86"/>
      <c r="C808" s="2"/>
    </row>
    <row r="809">
      <c r="A809" s="86"/>
      <c r="C809" s="2"/>
    </row>
    <row r="810">
      <c r="A810" s="86"/>
      <c r="C810" s="2"/>
    </row>
    <row r="811">
      <c r="A811" s="86"/>
      <c r="C811" s="2"/>
    </row>
    <row r="812">
      <c r="A812" s="86"/>
      <c r="C812" s="2"/>
    </row>
    <row r="813">
      <c r="A813" s="86"/>
      <c r="C813" s="2"/>
    </row>
    <row r="814">
      <c r="A814" s="86"/>
      <c r="C814" s="2"/>
    </row>
    <row r="815">
      <c r="A815" s="86"/>
      <c r="C815" s="2"/>
    </row>
    <row r="816">
      <c r="A816" s="86"/>
      <c r="C816" s="2"/>
    </row>
    <row r="817">
      <c r="A817" s="86"/>
      <c r="C817" s="2"/>
    </row>
    <row r="818">
      <c r="A818" s="86"/>
      <c r="C818" s="2"/>
    </row>
    <row r="819">
      <c r="A819" s="86"/>
      <c r="C819" s="2"/>
    </row>
    <row r="820">
      <c r="A820" s="86"/>
      <c r="C820" s="2"/>
    </row>
    <row r="821">
      <c r="A821" s="86"/>
      <c r="C821" s="2"/>
    </row>
    <row r="822">
      <c r="A822" s="86"/>
      <c r="C822" s="2"/>
    </row>
    <row r="823">
      <c r="A823" s="86"/>
      <c r="C823" s="2"/>
    </row>
    <row r="824">
      <c r="A824" s="86"/>
      <c r="C824" s="2"/>
    </row>
    <row r="825">
      <c r="A825" s="86"/>
      <c r="C825" s="2"/>
    </row>
    <row r="826">
      <c r="A826" s="86"/>
      <c r="C826" s="2"/>
    </row>
    <row r="827">
      <c r="A827" s="86"/>
      <c r="C827" s="2"/>
    </row>
    <row r="828">
      <c r="A828" s="86"/>
      <c r="C828" s="2"/>
    </row>
    <row r="829">
      <c r="A829" s="86"/>
      <c r="C829" s="2"/>
    </row>
    <row r="830">
      <c r="A830" s="86"/>
      <c r="C830" s="2"/>
    </row>
    <row r="831">
      <c r="A831" s="86"/>
      <c r="C831" s="2"/>
    </row>
    <row r="832">
      <c r="A832" s="86"/>
      <c r="C832" s="2"/>
    </row>
    <row r="833">
      <c r="A833" s="86"/>
      <c r="C833" s="2"/>
    </row>
    <row r="834">
      <c r="A834" s="86"/>
      <c r="C834" s="2"/>
    </row>
    <row r="835">
      <c r="A835" s="86"/>
      <c r="C835" s="2"/>
    </row>
    <row r="836">
      <c r="A836" s="86"/>
      <c r="C836" s="2"/>
    </row>
    <row r="837">
      <c r="A837" s="86"/>
      <c r="C837" s="2"/>
    </row>
    <row r="838">
      <c r="A838" s="86"/>
      <c r="C838" s="2"/>
    </row>
    <row r="839">
      <c r="A839" s="86"/>
      <c r="C839" s="2"/>
    </row>
    <row r="840">
      <c r="A840" s="86"/>
      <c r="C840" s="2"/>
    </row>
    <row r="841">
      <c r="A841" s="86"/>
      <c r="C841" s="2"/>
    </row>
    <row r="842">
      <c r="A842" s="86"/>
      <c r="C842" s="2"/>
    </row>
    <row r="843">
      <c r="A843" s="86"/>
      <c r="C843" s="2"/>
    </row>
    <row r="844">
      <c r="A844" s="86"/>
      <c r="C844" s="2"/>
    </row>
    <row r="845">
      <c r="A845" s="86"/>
      <c r="C845" s="2"/>
    </row>
    <row r="846">
      <c r="A846" s="86"/>
      <c r="C846" s="2"/>
    </row>
    <row r="847">
      <c r="A847" s="86"/>
      <c r="C847" s="2"/>
    </row>
    <row r="848">
      <c r="A848" s="86"/>
      <c r="C848" s="2"/>
    </row>
    <row r="849">
      <c r="A849" s="86"/>
      <c r="C849" s="2"/>
    </row>
    <row r="850">
      <c r="A850" s="86"/>
      <c r="C850" s="2"/>
    </row>
    <row r="851">
      <c r="A851" s="86"/>
      <c r="C851" s="2"/>
    </row>
    <row r="852">
      <c r="A852" s="86"/>
      <c r="C852" s="2"/>
    </row>
    <row r="853">
      <c r="A853" s="86"/>
      <c r="C853" s="2"/>
    </row>
    <row r="854">
      <c r="A854" s="86"/>
      <c r="C854" s="2"/>
    </row>
    <row r="855">
      <c r="A855" s="86"/>
      <c r="C855" s="2"/>
    </row>
    <row r="856">
      <c r="A856" s="86"/>
      <c r="C856" s="2"/>
    </row>
    <row r="857">
      <c r="A857" s="86"/>
      <c r="C857" s="2"/>
    </row>
    <row r="858">
      <c r="A858" s="86"/>
      <c r="C858" s="2"/>
    </row>
    <row r="859">
      <c r="A859" s="86"/>
      <c r="C859" s="2"/>
    </row>
    <row r="860">
      <c r="A860" s="86"/>
      <c r="C860" s="2"/>
    </row>
    <row r="861">
      <c r="A861" s="86"/>
      <c r="C861" s="2"/>
    </row>
    <row r="862">
      <c r="A862" s="86"/>
      <c r="C862" s="2"/>
    </row>
    <row r="863">
      <c r="A863" s="86"/>
      <c r="C863" s="2"/>
    </row>
    <row r="864">
      <c r="A864" s="86"/>
      <c r="C864" s="2"/>
    </row>
    <row r="865">
      <c r="A865" s="86"/>
      <c r="C865" s="2"/>
    </row>
    <row r="866">
      <c r="A866" s="86"/>
      <c r="C866" s="2"/>
    </row>
    <row r="867">
      <c r="A867" s="86"/>
      <c r="C867" s="2"/>
    </row>
    <row r="868">
      <c r="A868" s="86"/>
      <c r="C868" s="2"/>
    </row>
    <row r="869">
      <c r="A869" s="86"/>
      <c r="C869" s="2"/>
    </row>
    <row r="870">
      <c r="A870" s="86"/>
      <c r="C870" s="2"/>
    </row>
    <row r="871">
      <c r="A871" s="86"/>
      <c r="C871" s="2"/>
    </row>
    <row r="872">
      <c r="A872" s="86"/>
      <c r="C872" s="2"/>
    </row>
    <row r="873">
      <c r="A873" s="86"/>
      <c r="C873" s="2"/>
    </row>
    <row r="874">
      <c r="A874" s="86"/>
      <c r="C874" s="2"/>
    </row>
    <row r="875">
      <c r="A875" s="86"/>
      <c r="C875" s="2"/>
    </row>
    <row r="876">
      <c r="A876" s="86"/>
      <c r="C876" s="2"/>
    </row>
    <row r="877">
      <c r="A877" s="86"/>
      <c r="C877" s="2"/>
    </row>
    <row r="878">
      <c r="A878" s="86"/>
      <c r="C878" s="2"/>
    </row>
    <row r="879">
      <c r="A879" s="86"/>
      <c r="C879" s="2"/>
    </row>
    <row r="880">
      <c r="A880" s="86"/>
      <c r="C880" s="2"/>
    </row>
    <row r="881">
      <c r="A881" s="86"/>
      <c r="C881" s="2"/>
    </row>
    <row r="882">
      <c r="A882" s="86"/>
      <c r="C882" s="2"/>
    </row>
    <row r="883">
      <c r="A883" s="86"/>
      <c r="C883" s="2"/>
    </row>
    <row r="884">
      <c r="A884" s="86"/>
      <c r="C884" s="2"/>
    </row>
    <row r="885">
      <c r="A885" s="86"/>
      <c r="C885" s="2"/>
    </row>
    <row r="886">
      <c r="A886" s="86"/>
      <c r="C886" s="2"/>
    </row>
    <row r="887">
      <c r="A887" s="86"/>
      <c r="C887" s="2"/>
    </row>
    <row r="888">
      <c r="A888" s="86"/>
      <c r="C888" s="2"/>
    </row>
    <row r="889">
      <c r="A889" s="86"/>
      <c r="C889" s="2"/>
    </row>
    <row r="890">
      <c r="A890" s="86"/>
      <c r="C890" s="2"/>
    </row>
    <row r="891">
      <c r="A891" s="86"/>
      <c r="C891" s="2"/>
    </row>
    <row r="892">
      <c r="A892" s="86"/>
      <c r="C892" s="2"/>
    </row>
    <row r="893">
      <c r="A893" s="86"/>
      <c r="C893" s="2"/>
    </row>
    <row r="894">
      <c r="A894" s="86"/>
      <c r="C894" s="2"/>
    </row>
    <row r="895">
      <c r="A895" s="86"/>
      <c r="C895" s="2"/>
    </row>
    <row r="896">
      <c r="A896" s="86"/>
      <c r="C896" s="2"/>
    </row>
    <row r="897">
      <c r="A897" s="86"/>
      <c r="C897" s="2"/>
    </row>
    <row r="898">
      <c r="A898" s="86"/>
      <c r="C898" s="2"/>
    </row>
    <row r="899">
      <c r="A899" s="86"/>
      <c r="C899" s="2"/>
    </row>
    <row r="900">
      <c r="A900" s="86"/>
      <c r="C900" s="2"/>
    </row>
    <row r="901">
      <c r="A901" s="86"/>
      <c r="C901" s="2"/>
    </row>
    <row r="902">
      <c r="A902" s="86"/>
      <c r="C902" s="2"/>
    </row>
    <row r="903">
      <c r="A903" s="86"/>
      <c r="C903" s="2"/>
    </row>
    <row r="904">
      <c r="A904" s="86"/>
      <c r="C904" s="2"/>
    </row>
    <row r="905">
      <c r="A905" s="86"/>
      <c r="C905" s="2"/>
    </row>
    <row r="906">
      <c r="A906" s="86"/>
      <c r="C906" s="2"/>
    </row>
    <row r="907">
      <c r="A907" s="86"/>
      <c r="C907" s="2"/>
    </row>
    <row r="908">
      <c r="A908" s="86"/>
      <c r="C908" s="2"/>
    </row>
    <row r="909">
      <c r="A909" s="86"/>
      <c r="C909" s="2"/>
    </row>
    <row r="910">
      <c r="A910" s="86"/>
      <c r="C910" s="2"/>
    </row>
    <row r="911">
      <c r="A911" s="86"/>
      <c r="C911" s="2"/>
    </row>
    <row r="912">
      <c r="A912" s="86"/>
      <c r="C912" s="2"/>
    </row>
    <row r="913">
      <c r="A913" s="86"/>
      <c r="C913" s="2"/>
    </row>
    <row r="914">
      <c r="A914" s="86"/>
      <c r="C914" s="2"/>
    </row>
    <row r="915">
      <c r="A915" s="86"/>
      <c r="C915" s="2"/>
    </row>
    <row r="916">
      <c r="A916" s="86"/>
      <c r="C916" s="2"/>
    </row>
    <row r="917">
      <c r="A917" s="86"/>
      <c r="C917" s="2"/>
    </row>
    <row r="918">
      <c r="A918" s="86"/>
      <c r="C918" s="2"/>
    </row>
    <row r="919">
      <c r="A919" s="86"/>
      <c r="C919" s="2"/>
    </row>
    <row r="920">
      <c r="A920" s="86"/>
      <c r="C920" s="2"/>
    </row>
    <row r="921">
      <c r="A921" s="86"/>
      <c r="C921" s="2"/>
    </row>
    <row r="922">
      <c r="A922" s="86"/>
      <c r="C922" s="2"/>
    </row>
    <row r="923">
      <c r="A923" s="86"/>
      <c r="C923" s="2"/>
    </row>
    <row r="924">
      <c r="A924" s="86"/>
      <c r="C924" s="2"/>
    </row>
    <row r="925">
      <c r="A925" s="86"/>
      <c r="C925" s="2"/>
    </row>
    <row r="926">
      <c r="A926" s="86"/>
      <c r="C926" s="2"/>
    </row>
    <row r="927">
      <c r="A927" s="86"/>
      <c r="C927" s="2"/>
    </row>
    <row r="928">
      <c r="A928" s="86"/>
      <c r="C928" s="2"/>
    </row>
    <row r="929">
      <c r="A929" s="86"/>
      <c r="C929" s="2"/>
    </row>
    <row r="930">
      <c r="A930" s="86"/>
      <c r="C930" s="2"/>
    </row>
    <row r="931">
      <c r="A931" s="86"/>
      <c r="C931" s="2"/>
    </row>
    <row r="932">
      <c r="A932" s="86"/>
      <c r="C932" s="2"/>
    </row>
    <row r="933">
      <c r="A933" s="86"/>
      <c r="C933" s="2"/>
    </row>
    <row r="934">
      <c r="A934" s="86"/>
      <c r="C934" s="2"/>
    </row>
    <row r="935">
      <c r="A935" s="86"/>
      <c r="C935" s="2"/>
    </row>
    <row r="936">
      <c r="A936" s="86"/>
      <c r="C936" s="2"/>
    </row>
    <row r="937">
      <c r="A937" s="86"/>
      <c r="C937" s="2"/>
    </row>
    <row r="938">
      <c r="A938" s="86"/>
      <c r="C938" s="2"/>
    </row>
    <row r="939">
      <c r="A939" s="86"/>
      <c r="C939" s="2"/>
    </row>
    <row r="940">
      <c r="A940" s="86"/>
      <c r="C940" s="2"/>
    </row>
    <row r="941">
      <c r="A941" s="86"/>
      <c r="C941" s="2"/>
    </row>
    <row r="942">
      <c r="A942" s="86"/>
      <c r="C942" s="2"/>
    </row>
    <row r="943">
      <c r="A943" s="86"/>
      <c r="C943" s="2"/>
    </row>
    <row r="944">
      <c r="A944" s="86"/>
      <c r="C944" s="2"/>
    </row>
    <row r="945">
      <c r="A945" s="86"/>
      <c r="C945" s="2"/>
    </row>
    <row r="946">
      <c r="A946" s="86"/>
      <c r="C946" s="2"/>
    </row>
    <row r="947">
      <c r="A947" s="86"/>
      <c r="C947" s="2"/>
    </row>
    <row r="948">
      <c r="A948" s="86"/>
      <c r="C948" s="2"/>
    </row>
    <row r="949">
      <c r="A949" s="86"/>
      <c r="C949" s="2"/>
    </row>
    <row r="950">
      <c r="A950" s="86"/>
      <c r="C950" s="2"/>
    </row>
    <row r="951">
      <c r="A951" s="86"/>
      <c r="C951" s="2"/>
    </row>
    <row r="952">
      <c r="A952" s="86"/>
      <c r="C952" s="2"/>
    </row>
    <row r="953">
      <c r="A953" s="86"/>
      <c r="C953" s="2"/>
    </row>
    <row r="954">
      <c r="A954" s="86"/>
      <c r="C954" s="2"/>
    </row>
    <row r="955">
      <c r="A955" s="86"/>
      <c r="C955" s="2"/>
    </row>
    <row r="956">
      <c r="A956" s="86"/>
      <c r="C956" s="2"/>
    </row>
    <row r="957">
      <c r="A957" s="86"/>
      <c r="C957" s="2"/>
    </row>
    <row r="958">
      <c r="A958" s="86"/>
      <c r="C958" s="2"/>
    </row>
    <row r="959">
      <c r="A959" s="86"/>
      <c r="C959" s="2"/>
    </row>
    <row r="960">
      <c r="A960" s="86"/>
      <c r="C960" s="2"/>
    </row>
    <row r="961">
      <c r="A961" s="86"/>
      <c r="C961" s="2"/>
    </row>
    <row r="962">
      <c r="A962" s="86"/>
      <c r="C962" s="2"/>
    </row>
    <row r="963">
      <c r="A963" s="86"/>
      <c r="C963" s="2"/>
    </row>
    <row r="964">
      <c r="A964" s="86"/>
      <c r="C964" s="2"/>
    </row>
    <row r="965">
      <c r="A965" s="86"/>
      <c r="C965" s="2"/>
    </row>
    <row r="966">
      <c r="A966" s="86"/>
      <c r="C966" s="2"/>
    </row>
    <row r="967">
      <c r="A967" s="86"/>
      <c r="C967" s="2"/>
    </row>
    <row r="968">
      <c r="A968" s="86"/>
      <c r="C968" s="2"/>
    </row>
    <row r="969">
      <c r="A969" s="86"/>
      <c r="C969" s="2"/>
    </row>
    <row r="970">
      <c r="A970" s="86"/>
      <c r="C970" s="2"/>
    </row>
    <row r="971">
      <c r="A971" s="86"/>
      <c r="C971" s="2"/>
    </row>
    <row r="972">
      <c r="A972" s="86"/>
      <c r="C972" s="2"/>
    </row>
    <row r="973">
      <c r="A973" s="86"/>
      <c r="C973" s="2"/>
    </row>
    <row r="974">
      <c r="A974" s="86"/>
      <c r="C974" s="2"/>
    </row>
    <row r="975">
      <c r="A975" s="86"/>
      <c r="C975" s="2"/>
    </row>
    <row r="976">
      <c r="A976" s="86"/>
      <c r="C976" s="2"/>
    </row>
    <row r="977">
      <c r="A977" s="86"/>
      <c r="C977" s="2"/>
    </row>
    <row r="978">
      <c r="A978" s="86"/>
      <c r="C978" s="2"/>
    </row>
    <row r="979">
      <c r="A979" s="86"/>
      <c r="C979" s="2"/>
    </row>
    <row r="980">
      <c r="A980" s="86"/>
      <c r="C980" s="2"/>
    </row>
    <row r="981">
      <c r="A981" s="86"/>
      <c r="C981" s="2"/>
    </row>
    <row r="982">
      <c r="A982" s="86"/>
      <c r="C982" s="2"/>
    </row>
    <row r="983">
      <c r="A983" s="86"/>
      <c r="C983" s="2"/>
    </row>
    <row r="984">
      <c r="A984" s="86"/>
      <c r="C984" s="2"/>
    </row>
    <row r="985">
      <c r="A985" s="86"/>
      <c r="C985" s="2"/>
    </row>
    <row r="986">
      <c r="A986" s="86"/>
      <c r="C986" s="2"/>
    </row>
    <row r="987">
      <c r="A987" s="86"/>
      <c r="C987" s="2"/>
    </row>
    <row r="988">
      <c r="A988" s="86"/>
      <c r="C988" s="2"/>
    </row>
    <row r="989">
      <c r="A989" s="86"/>
      <c r="C989" s="2"/>
    </row>
    <row r="990">
      <c r="A990" s="86"/>
      <c r="C990" s="2"/>
    </row>
    <row r="991">
      <c r="A991" s="86"/>
      <c r="C991" s="2"/>
    </row>
    <row r="992">
      <c r="A992" s="86"/>
      <c r="C992" s="2"/>
    </row>
    <row r="993">
      <c r="A993" s="86"/>
      <c r="C993" s="2"/>
    </row>
    <row r="994">
      <c r="A994" s="86"/>
      <c r="C994" s="2"/>
    </row>
    <row r="995">
      <c r="A995" s="86"/>
      <c r="C995" s="2"/>
    </row>
    <row r="996">
      <c r="A996" s="86"/>
      <c r="C996" s="2"/>
    </row>
    <row r="997">
      <c r="A997" s="86"/>
      <c r="C997" s="2"/>
    </row>
    <row r="998">
      <c r="A998" s="86"/>
      <c r="C998" s="2"/>
    </row>
    <row r="999">
      <c r="A999" s="86"/>
      <c r="C999" s="2"/>
    </row>
    <row r="1000">
      <c r="A1000" s="86"/>
      <c r="C100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63"/>
  </cols>
  <sheetData>
    <row r="1">
      <c r="A1" s="76" t="s">
        <v>2</v>
      </c>
      <c r="B1" s="8" t="s">
        <v>3</v>
      </c>
      <c r="C1" s="8" t="s">
        <v>4</v>
      </c>
      <c r="D1" s="74" t="s">
        <v>5</v>
      </c>
      <c r="F1" s="6" t="s">
        <v>27</v>
      </c>
      <c r="G1" s="2">
        <f>sum(D3:D10004)</f>
        <v>6398.25</v>
      </c>
      <c r="H1" s="8" t="s">
        <v>40</v>
      </c>
      <c r="I1" s="2">
        <f>sum(D8:D12)</f>
        <v>2785.46</v>
      </c>
    </row>
    <row r="2">
      <c r="A2" s="76">
        <v>45467.0</v>
      </c>
      <c r="B2" s="6" t="s">
        <v>218</v>
      </c>
      <c r="C2" s="6" t="s">
        <v>579</v>
      </c>
      <c r="D2" s="3">
        <v>4229.5</v>
      </c>
    </row>
    <row r="3">
      <c r="A3" s="76">
        <v>45481.0</v>
      </c>
      <c r="C3" s="6" t="s">
        <v>580</v>
      </c>
      <c r="D3" s="3">
        <v>101.0</v>
      </c>
    </row>
    <row r="4">
      <c r="A4" s="76">
        <v>45504.0</v>
      </c>
      <c r="C4" s="6" t="s">
        <v>581</v>
      </c>
      <c r="D4" s="3">
        <v>968.58</v>
      </c>
    </row>
    <row r="5">
      <c r="A5" s="76">
        <v>45504.0</v>
      </c>
      <c r="C5" s="6" t="s">
        <v>582</v>
      </c>
      <c r="D5" s="3">
        <v>0.5</v>
      </c>
    </row>
    <row r="6">
      <c r="A6" s="76">
        <v>45590.0</v>
      </c>
      <c r="C6" s="6" t="s">
        <v>581</v>
      </c>
      <c r="D6" s="3">
        <v>1384.46</v>
      </c>
    </row>
    <row r="7">
      <c r="A7" s="76">
        <v>45590.0</v>
      </c>
      <c r="C7" s="6" t="s">
        <v>582</v>
      </c>
      <c r="D7" s="3">
        <v>0.5</v>
      </c>
    </row>
    <row r="8">
      <c r="A8" s="76">
        <v>45692.0</v>
      </c>
      <c r="C8" s="6" t="s">
        <v>581</v>
      </c>
      <c r="D8" s="3">
        <v>1384.46</v>
      </c>
      <c r="E8" s="6" t="s">
        <v>106</v>
      </c>
    </row>
    <row r="9">
      <c r="A9" s="76">
        <v>45692.0</v>
      </c>
      <c r="C9" s="6" t="s">
        <v>582</v>
      </c>
      <c r="D9" s="3">
        <v>0.5</v>
      </c>
      <c r="E9" s="6" t="s">
        <v>106</v>
      </c>
    </row>
    <row r="10">
      <c r="A10" s="76">
        <v>45726.0</v>
      </c>
      <c r="B10" s="6" t="s">
        <v>228</v>
      </c>
      <c r="C10" s="6" t="s">
        <v>583</v>
      </c>
      <c r="D10" s="3">
        <v>1125.0</v>
      </c>
      <c r="E10" s="6" t="s">
        <v>106</v>
      </c>
    </row>
    <row r="11">
      <c r="A11" s="76">
        <v>45860.0</v>
      </c>
      <c r="B11" s="6" t="s">
        <v>584</v>
      </c>
      <c r="C11" s="6" t="s">
        <v>585</v>
      </c>
      <c r="D11" s="3">
        <v>200.0</v>
      </c>
      <c r="E11" s="6" t="s">
        <v>106</v>
      </c>
    </row>
    <row r="12">
      <c r="A12" s="76">
        <v>46022.0</v>
      </c>
      <c r="B12" s="6" t="s">
        <v>228</v>
      </c>
      <c r="C12" s="6" t="s">
        <v>583</v>
      </c>
      <c r="D12" s="3">
        <v>75.5</v>
      </c>
      <c r="E12" s="6" t="s">
        <v>106</v>
      </c>
    </row>
    <row r="13">
      <c r="A13" s="76">
        <v>46036.0</v>
      </c>
      <c r="C13" s="6" t="s">
        <v>583</v>
      </c>
      <c r="D13" s="3">
        <v>6.25</v>
      </c>
    </row>
    <row r="14">
      <c r="A14" s="76">
        <v>46043.0</v>
      </c>
      <c r="B14" s="6" t="s">
        <v>586</v>
      </c>
      <c r="C14" s="6" t="s">
        <v>585</v>
      </c>
      <c r="D14" s="3">
        <v>200.0</v>
      </c>
    </row>
    <row r="15">
      <c r="A15" s="76">
        <v>46091.0</v>
      </c>
      <c r="C15" s="6" t="s">
        <v>583</v>
      </c>
      <c r="D15" s="3">
        <v>750.0</v>
      </c>
    </row>
    <row r="16">
      <c r="A16" s="76">
        <v>46260.0</v>
      </c>
      <c r="C16" s="6" t="s">
        <v>583</v>
      </c>
      <c r="D16" s="3">
        <v>201.5</v>
      </c>
    </row>
    <row r="17">
      <c r="A17" s="85"/>
      <c r="D17" s="2"/>
    </row>
    <row r="18">
      <c r="A18" s="85"/>
      <c r="D18" s="2"/>
    </row>
    <row r="19">
      <c r="A19" s="85"/>
      <c r="D19" s="2"/>
    </row>
    <row r="20">
      <c r="A20" s="85"/>
      <c r="D20" s="2"/>
    </row>
    <row r="21">
      <c r="A21" s="85"/>
      <c r="D21" s="2"/>
    </row>
    <row r="22">
      <c r="A22" s="85"/>
      <c r="D22" s="2"/>
    </row>
    <row r="23">
      <c r="A23" s="85"/>
      <c r="D23" s="2"/>
    </row>
    <row r="24">
      <c r="A24" s="85"/>
      <c r="D24" s="2"/>
    </row>
    <row r="25">
      <c r="A25" s="85"/>
      <c r="D25" s="2"/>
    </row>
    <row r="26">
      <c r="A26" s="85"/>
      <c r="D26" s="2"/>
    </row>
    <row r="27">
      <c r="A27" s="85"/>
      <c r="D27" s="2"/>
    </row>
    <row r="28">
      <c r="A28" s="85"/>
      <c r="D28" s="2"/>
    </row>
    <row r="29">
      <c r="A29" s="85"/>
      <c r="D29" s="2"/>
    </row>
    <row r="30">
      <c r="A30" s="85"/>
      <c r="D30" s="2"/>
    </row>
    <row r="31">
      <c r="A31" s="85"/>
      <c r="D31" s="2"/>
    </row>
    <row r="32">
      <c r="A32" s="85"/>
      <c r="D32" s="2"/>
    </row>
    <row r="33">
      <c r="A33" s="85"/>
      <c r="D33" s="2"/>
    </row>
    <row r="34">
      <c r="A34" s="85"/>
      <c r="D34" s="2"/>
    </row>
    <row r="35">
      <c r="A35" s="85"/>
      <c r="D35" s="2"/>
    </row>
    <row r="36">
      <c r="A36" s="85"/>
      <c r="D36" s="2"/>
    </row>
    <row r="37">
      <c r="A37" s="85"/>
      <c r="D37" s="2"/>
    </row>
    <row r="38">
      <c r="A38" s="85"/>
      <c r="D38" s="2"/>
    </row>
    <row r="39">
      <c r="A39" s="85"/>
      <c r="D39" s="2"/>
    </row>
    <row r="40">
      <c r="A40" s="85"/>
      <c r="D40" s="2"/>
    </row>
    <row r="41">
      <c r="A41" s="85"/>
      <c r="D41" s="2"/>
    </row>
    <row r="42">
      <c r="A42" s="85"/>
      <c r="D42" s="2"/>
    </row>
    <row r="43">
      <c r="A43" s="85"/>
      <c r="D43" s="2"/>
    </row>
    <row r="44">
      <c r="A44" s="85"/>
      <c r="D44" s="2"/>
    </row>
    <row r="45">
      <c r="A45" s="85"/>
      <c r="D45" s="2"/>
    </row>
    <row r="46">
      <c r="A46" s="85"/>
      <c r="D46" s="2"/>
    </row>
    <row r="47">
      <c r="A47" s="85"/>
      <c r="D47" s="2"/>
    </row>
    <row r="48">
      <c r="A48" s="85"/>
      <c r="D48" s="2"/>
    </row>
    <row r="49">
      <c r="A49" s="85"/>
      <c r="D49" s="2"/>
    </row>
    <row r="50">
      <c r="A50" s="85"/>
      <c r="D50" s="2"/>
    </row>
    <row r="51">
      <c r="A51" s="85"/>
      <c r="D51" s="2"/>
    </row>
    <row r="52">
      <c r="A52" s="85"/>
      <c r="D52" s="2"/>
    </row>
    <row r="53">
      <c r="A53" s="85"/>
      <c r="D53" s="2"/>
    </row>
    <row r="54">
      <c r="A54" s="85"/>
      <c r="D54" s="2"/>
    </row>
    <row r="55">
      <c r="A55" s="85"/>
      <c r="D55" s="2"/>
    </row>
    <row r="56">
      <c r="A56" s="85"/>
      <c r="D56" s="2"/>
    </row>
    <row r="57">
      <c r="A57" s="85"/>
      <c r="D57" s="2"/>
    </row>
    <row r="58">
      <c r="A58" s="85"/>
      <c r="D58" s="2"/>
    </row>
    <row r="59">
      <c r="A59" s="85"/>
      <c r="D59" s="2"/>
    </row>
    <row r="60">
      <c r="A60" s="85"/>
      <c r="D60" s="2"/>
    </row>
    <row r="61">
      <c r="A61" s="85"/>
      <c r="D61" s="2"/>
    </row>
    <row r="62">
      <c r="A62" s="85"/>
      <c r="D62" s="2"/>
    </row>
    <row r="63">
      <c r="A63" s="85"/>
      <c r="D63" s="2"/>
    </row>
    <row r="64">
      <c r="A64" s="85"/>
      <c r="D64" s="2"/>
    </row>
    <row r="65">
      <c r="A65" s="85"/>
      <c r="D65" s="2"/>
    </row>
    <row r="66">
      <c r="A66" s="85"/>
      <c r="D66" s="2"/>
    </row>
    <row r="67">
      <c r="A67" s="85"/>
      <c r="D67" s="2"/>
    </row>
    <row r="68">
      <c r="A68" s="85"/>
      <c r="D68" s="2"/>
    </row>
    <row r="69">
      <c r="A69" s="85"/>
      <c r="D69" s="2"/>
    </row>
    <row r="70">
      <c r="A70" s="85"/>
      <c r="D70" s="2"/>
    </row>
    <row r="71">
      <c r="A71" s="85"/>
      <c r="D71" s="2"/>
    </row>
    <row r="72">
      <c r="A72" s="85"/>
      <c r="D72" s="2"/>
    </row>
    <row r="73">
      <c r="A73" s="85"/>
      <c r="D73" s="2"/>
    </row>
    <row r="74">
      <c r="A74" s="85"/>
      <c r="D74" s="2"/>
    </row>
    <row r="75">
      <c r="A75" s="85"/>
      <c r="D75" s="2"/>
    </row>
    <row r="76">
      <c r="A76" s="85"/>
      <c r="D76" s="2"/>
    </row>
    <row r="77">
      <c r="A77" s="85"/>
      <c r="D77" s="2"/>
    </row>
    <row r="78">
      <c r="A78" s="85"/>
      <c r="D78" s="2"/>
    </row>
    <row r="79">
      <c r="A79" s="85"/>
      <c r="D79" s="2"/>
    </row>
    <row r="80">
      <c r="A80" s="85"/>
      <c r="D80" s="2"/>
    </row>
    <row r="81">
      <c r="A81" s="85"/>
      <c r="D81" s="2"/>
    </row>
    <row r="82">
      <c r="A82" s="85"/>
      <c r="D82" s="2"/>
    </row>
    <row r="83">
      <c r="A83" s="85"/>
      <c r="D83" s="2"/>
    </row>
    <row r="84">
      <c r="A84" s="85"/>
      <c r="D84" s="2"/>
    </row>
    <row r="85">
      <c r="A85" s="85"/>
      <c r="D85" s="2"/>
    </row>
    <row r="86">
      <c r="A86" s="85"/>
      <c r="D86" s="2"/>
    </row>
    <row r="87">
      <c r="A87" s="85"/>
      <c r="D87" s="2"/>
    </row>
    <row r="88">
      <c r="A88" s="85"/>
      <c r="D88" s="2"/>
    </row>
    <row r="89">
      <c r="A89" s="85"/>
      <c r="D89" s="2"/>
    </row>
    <row r="90">
      <c r="A90" s="85"/>
      <c r="D90" s="2"/>
    </row>
    <row r="91">
      <c r="A91" s="85"/>
      <c r="D91" s="2"/>
    </row>
    <row r="92">
      <c r="A92" s="85"/>
      <c r="D92" s="2"/>
    </row>
    <row r="93">
      <c r="A93" s="85"/>
      <c r="D93" s="2"/>
    </row>
    <row r="94">
      <c r="A94" s="85"/>
      <c r="D94" s="2"/>
    </row>
    <row r="95">
      <c r="A95" s="85"/>
      <c r="D95" s="2"/>
    </row>
    <row r="96">
      <c r="A96" s="85"/>
      <c r="D96" s="2"/>
    </row>
    <row r="97">
      <c r="A97" s="85"/>
      <c r="D97" s="2"/>
    </row>
    <row r="98">
      <c r="A98" s="85"/>
      <c r="D98" s="2"/>
    </row>
    <row r="99">
      <c r="A99" s="85"/>
      <c r="D99" s="2"/>
    </row>
    <row r="100">
      <c r="A100" s="85"/>
      <c r="D100" s="2"/>
    </row>
    <row r="101">
      <c r="A101" s="85"/>
      <c r="D101" s="2"/>
    </row>
    <row r="102">
      <c r="A102" s="85"/>
      <c r="D102" s="2"/>
    </row>
    <row r="103">
      <c r="A103" s="85"/>
      <c r="D103" s="2"/>
    </row>
    <row r="104">
      <c r="A104" s="85"/>
      <c r="D104" s="2"/>
    </row>
    <row r="105">
      <c r="A105" s="85"/>
      <c r="D105" s="2"/>
    </row>
    <row r="106">
      <c r="A106" s="85"/>
      <c r="D106" s="2"/>
    </row>
    <row r="107">
      <c r="A107" s="85"/>
      <c r="D107" s="2"/>
    </row>
    <row r="108">
      <c r="A108" s="85"/>
      <c r="D108" s="2"/>
    </row>
    <row r="109">
      <c r="A109" s="85"/>
      <c r="D109" s="2"/>
    </row>
    <row r="110">
      <c r="A110" s="85"/>
      <c r="D110" s="2"/>
    </row>
    <row r="111">
      <c r="A111" s="85"/>
      <c r="D111" s="2"/>
    </row>
    <row r="112">
      <c r="A112" s="85"/>
      <c r="D112" s="2"/>
    </row>
    <row r="113">
      <c r="A113" s="85"/>
      <c r="D113" s="2"/>
    </row>
    <row r="114">
      <c r="A114" s="85"/>
      <c r="D114" s="2"/>
    </row>
    <row r="115">
      <c r="A115" s="85"/>
      <c r="D115" s="2"/>
    </row>
    <row r="116">
      <c r="A116" s="85"/>
      <c r="D116" s="2"/>
    </row>
    <row r="117">
      <c r="A117" s="85"/>
      <c r="D117" s="2"/>
    </row>
    <row r="118">
      <c r="A118" s="85"/>
      <c r="D118" s="2"/>
    </row>
    <row r="119">
      <c r="A119" s="85"/>
      <c r="D119" s="2"/>
    </row>
    <row r="120">
      <c r="A120" s="85"/>
      <c r="D120" s="2"/>
    </row>
    <row r="121">
      <c r="A121" s="85"/>
      <c r="D121" s="2"/>
    </row>
    <row r="122">
      <c r="A122" s="85"/>
      <c r="D122" s="2"/>
    </row>
    <row r="123">
      <c r="A123" s="85"/>
      <c r="D123" s="2"/>
    </row>
    <row r="124">
      <c r="A124" s="85"/>
      <c r="D124" s="2"/>
    </row>
    <row r="125">
      <c r="A125" s="85"/>
      <c r="D125" s="2"/>
    </row>
    <row r="126">
      <c r="A126" s="85"/>
      <c r="D126" s="2"/>
    </row>
    <row r="127">
      <c r="A127" s="85"/>
      <c r="D127" s="2"/>
    </row>
    <row r="128">
      <c r="A128" s="85"/>
      <c r="D128" s="2"/>
    </row>
    <row r="129">
      <c r="A129" s="85"/>
      <c r="D129" s="2"/>
    </row>
    <row r="130">
      <c r="A130" s="85"/>
      <c r="D130" s="2"/>
    </row>
    <row r="131">
      <c r="A131" s="85"/>
      <c r="D131" s="2"/>
    </row>
    <row r="132">
      <c r="A132" s="85"/>
      <c r="D132" s="2"/>
    </row>
    <row r="133">
      <c r="A133" s="85"/>
      <c r="D133" s="2"/>
    </row>
    <row r="134">
      <c r="A134" s="85"/>
      <c r="D134" s="2"/>
    </row>
    <row r="135">
      <c r="A135" s="85"/>
      <c r="D135" s="2"/>
    </row>
    <row r="136">
      <c r="A136" s="85"/>
      <c r="D136" s="2"/>
    </row>
    <row r="137">
      <c r="A137" s="85"/>
      <c r="D137" s="2"/>
    </row>
    <row r="138">
      <c r="A138" s="85"/>
      <c r="D138" s="2"/>
    </row>
    <row r="139">
      <c r="A139" s="85"/>
      <c r="D139" s="2"/>
    </row>
    <row r="140">
      <c r="A140" s="85"/>
      <c r="D140" s="2"/>
    </row>
    <row r="141">
      <c r="A141" s="85"/>
      <c r="D141" s="2"/>
    </row>
    <row r="142">
      <c r="A142" s="85"/>
      <c r="D142" s="2"/>
    </row>
    <row r="143">
      <c r="A143" s="85"/>
      <c r="D143" s="2"/>
    </row>
    <row r="144">
      <c r="A144" s="85"/>
      <c r="D144" s="2"/>
    </row>
    <row r="145">
      <c r="A145" s="85"/>
      <c r="D145" s="2"/>
    </row>
    <row r="146">
      <c r="A146" s="85"/>
      <c r="D146" s="2"/>
    </row>
    <row r="147">
      <c r="A147" s="85"/>
      <c r="D147" s="2"/>
    </row>
    <row r="148">
      <c r="A148" s="85"/>
      <c r="D148" s="2"/>
    </row>
    <row r="149">
      <c r="A149" s="85"/>
      <c r="D149" s="2"/>
    </row>
    <row r="150">
      <c r="A150" s="85"/>
      <c r="D150" s="2"/>
    </row>
    <row r="151">
      <c r="A151" s="85"/>
      <c r="D151" s="2"/>
    </row>
    <row r="152">
      <c r="A152" s="85"/>
      <c r="D152" s="2"/>
    </row>
    <row r="153">
      <c r="A153" s="85"/>
      <c r="D153" s="2"/>
    </row>
    <row r="154">
      <c r="A154" s="85"/>
      <c r="D154" s="2"/>
    </row>
    <row r="155">
      <c r="A155" s="85"/>
      <c r="D155" s="2"/>
    </row>
    <row r="156">
      <c r="A156" s="85"/>
      <c r="D156" s="2"/>
    </row>
    <row r="157">
      <c r="A157" s="85"/>
      <c r="D157" s="2"/>
    </row>
    <row r="158">
      <c r="A158" s="85"/>
      <c r="D158" s="2"/>
    </row>
    <row r="159">
      <c r="A159" s="85"/>
      <c r="D159" s="2"/>
    </row>
    <row r="160">
      <c r="A160" s="85"/>
      <c r="D160" s="2"/>
    </row>
    <row r="161">
      <c r="A161" s="85"/>
      <c r="D161" s="2"/>
    </row>
    <row r="162">
      <c r="A162" s="85"/>
      <c r="D162" s="2"/>
    </row>
    <row r="163">
      <c r="A163" s="85"/>
      <c r="D163" s="2"/>
    </row>
    <row r="164">
      <c r="A164" s="85"/>
      <c r="D164" s="2"/>
    </row>
    <row r="165">
      <c r="A165" s="85"/>
      <c r="D165" s="2"/>
    </row>
    <row r="166">
      <c r="A166" s="85"/>
      <c r="D166" s="2"/>
    </row>
    <row r="167">
      <c r="A167" s="85"/>
      <c r="D167" s="2"/>
    </row>
    <row r="168">
      <c r="A168" s="85"/>
      <c r="D168" s="2"/>
    </row>
    <row r="169">
      <c r="A169" s="85"/>
      <c r="D169" s="2"/>
    </row>
    <row r="170">
      <c r="A170" s="85"/>
      <c r="D170" s="2"/>
    </row>
    <row r="171">
      <c r="A171" s="85"/>
      <c r="D171" s="2"/>
    </row>
    <row r="172">
      <c r="A172" s="85"/>
      <c r="D172" s="2"/>
    </row>
    <row r="173">
      <c r="A173" s="85"/>
      <c r="D173" s="2"/>
    </row>
    <row r="174">
      <c r="A174" s="85"/>
      <c r="D174" s="2"/>
    </row>
    <row r="175">
      <c r="A175" s="85"/>
      <c r="D175" s="2"/>
    </row>
    <row r="176">
      <c r="A176" s="85"/>
      <c r="D176" s="2"/>
    </row>
    <row r="177">
      <c r="A177" s="85"/>
      <c r="D177" s="2"/>
    </row>
    <row r="178">
      <c r="A178" s="85"/>
      <c r="D178" s="2"/>
    </row>
    <row r="179">
      <c r="A179" s="85"/>
      <c r="D179" s="2"/>
    </row>
    <row r="180">
      <c r="A180" s="85"/>
      <c r="D180" s="2"/>
    </row>
    <row r="181">
      <c r="A181" s="85"/>
      <c r="D181" s="2"/>
    </row>
    <row r="182">
      <c r="A182" s="85"/>
      <c r="D182" s="2"/>
    </row>
    <row r="183">
      <c r="A183" s="85"/>
      <c r="D183" s="2"/>
    </row>
    <row r="184">
      <c r="A184" s="85"/>
      <c r="D184" s="2"/>
    </row>
    <row r="185">
      <c r="A185" s="85"/>
      <c r="D185" s="2"/>
    </row>
    <row r="186">
      <c r="A186" s="85"/>
      <c r="D186" s="2"/>
    </row>
    <row r="187">
      <c r="A187" s="85"/>
      <c r="D187" s="2"/>
    </row>
    <row r="188">
      <c r="A188" s="85"/>
      <c r="D188" s="2"/>
    </row>
    <row r="189">
      <c r="A189" s="85"/>
      <c r="D189" s="2"/>
    </row>
    <row r="190">
      <c r="A190" s="85"/>
      <c r="D190" s="2"/>
    </row>
    <row r="191">
      <c r="A191" s="85"/>
      <c r="D191" s="2"/>
    </row>
    <row r="192">
      <c r="A192" s="85"/>
      <c r="D192" s="2"/>
    </row>
    <row r="193">
      <c r="A193" s="85"/>
      <c r="D193" s="2"/>
    </row>
    <row r="194">
      <c r="A194" s="85"/>
      <c r="D194" s="2"/>
    </row>
    <row r="195">
      <c r="A195" s="85"/>
      <c r="D195" s="2"/>
    </row>
    <row r="196">
      <c r="A196" s="85"/>
      <c r="D196" s="2"/>
    </row>
    <row r="197">
      <c r="A197" s="85"/>
      <c r="D197" s="2"/>
    </row>
    <row r="198">
      <c r="A198" s="85"/>
      <c r="D198" s="2"/>
    </row>
    <row r="199">
      <c r="A199" s="85"/>
      <c r="D199" s="2"/>
    </row>
    <row r="200">
      <c r="A200" s="85"/>
      <c r="D200" s="2"/>
    </row>
    <row r="201">
      <c r="A201" s="85"/>
      <c r="D201" s="2"/>
    </row>
    <row r="202">
      <c r="A202" s="85"/>
      <c r="D202" s="2"/>
    </row>
    <row r="203">
      <c r="A203" s="85"/>
      <c r="D203" s="2"/>
    </row>
    <row r="204">
      <c r="A204" s="85"/>
      <c r="D204" s="2"/>
    </row>
    <row r="205">
      <c r="A205" s="85"/>
      <c r="D205" s="2"/>
    </row>
    <row r="206">
      <c r="A206" s="85"/>
      <c r="D206" s="2"/>
    </row>
    <row r="207">
      <c r="A207" s="85"/>
      <c r="D207" s="2"/>
    </row>
    <row r="208">
      <c r="A208" s="85"/>
      <c r="D208" s="2"/>
    </row>
    <row r="209">
      <c r="A209" s="85"/>
      <c r="D209" s="2"/>
    </row>
    <row r="210">
      <c r="A210" s="85"/>
      <c r="D210" s="2"/>
    </row>
    <row r="211">
      <c r="A211" s="85"/>
      <c r="D211" s="2"/>
    </row>
    <row r="212">
      <c r="A212" s="85"/>
      <c r="D212" s="2"/>
    </row>
    <row r="213">
      <c r="A213" s="85"/>
      <c r="D213" s="2"/>
    </row>
    <row r="214">
      <c r="A214" s="85"/>
      <c r="D214" s="2"/>
    </row>
    <row r="215">
      <c r="A215" s="85"/>
      <c r="D215" s="2"/>
    </row>
    <row r="216">
      <c r="A216" s="85"/>
      <c r="D216" s="2"/>
    </row>
    <row r="217">
      <c r="A217" s="85"/>
      <c r="D217" s="2"/>
    </row>
    <row r="218">
      <c r="A218" s="85"/>
      <c r="D218" s="2"/>
    </row>
    <row r="219">
      <c r="A219" s="85"/>
      <c r="D219" s="2"/>
    </row>
    <row r="220">
      <c r="A220" s="85"/>
      <c r="D220" s="2"/>
    </row>
    <row r="221">
      <c r="A221" s="85"/>
      <c r="D221" s="2"/>
    </row>
    <row r="222">
      <c r="A222" s="85"/>
      <c r="D222" s="2"/>
    </row>
    <row r="223">
      <c r="A223" s="85"/>
      <c r="D223" s="2"/>
    </row>
    <row r="224">
      <c r="A224" s="85"/>
      <c r="D224" s="2"/>
    </row>
    <row r="225">
      <c r="A225" s="85"/>
      <c r="D225" s="2"/>
    </row>
    <row r="226">
      <c r="A226" s="85"/>
      <c r="D226" s="2"/>
    </row>
    <row r="227">
      <c r="A227" s="85"/>
      <c r="D227" s="2"/>
    </row>
    <row r="228">
      <c r="A228" s="85"/>
      <c r="D228" s="2"/>
    </row>
    <row r="229">
      <c r="A229" s="85"/>
      <c r="D229" s="2"/>
    </row>
    <row r="230">
      <c r="A230" s="85"/>
      <c r="D230" s="2"/>
    </row>
    <row r="231">
      <c r="A231" s="85"/>
      <c r="D231" s="2"/>
    </row>
    <row r="232">
      <c r="A232" s="85"/>
      <c r="D232" s="2"/>
    </row>
    <row r="233">
      <c r="A233" s="85"/>
      <c r="D233" s="2"/>
    </row>
    <row r="234">
      <c r="A234" s="85"/>
      <c r="D234" s="2"/>
    </row>
    <row r="235">
      <c r="A235" s="85"/>
      <c r="D235" s="2"/>
    </row>
    <row r="236">
      <c r="A236" s="85"/>
      <c r="D236" s="2"/>
    </row>
    <row r="237">
      <c r="A237" s="85"/>
      <c r="D237" s="2"/>
    </row>
    <row r="238">
      <c r="A238" s="85"/>
      <c r="D238" s="2"/>
    </row>
    <row r="239">
      <c r="A239" s="85"/>
      <c r="D239" s="2"/>
    </row>
    <row r="240">
      <c r="A240" s="85"/>
      <c r="D240" s="2"/>
    </row>
    <row r="241">
      <c r="A241" s="85"/>
      <c r="D241" s="2"/>
    </row>
    <row r="242">
      <c r="A242" s="85"/>
      <c r="D242" s="2"/>
    </row>
    <row r="243">
      <c r="A243" s="85"/>
      <c r="D243" s="2"/>
    </row>
    <row r="244">
      <c r="A244" s="85"/>
      <c r="D244" s="2"/>
    </row>
    <row r="245">
      <c r="A245" s="85"/>
      <c r="D245" s="2"/>
    </row>
    <row r="246">
      <c r="A246" s="85"/>
      <c r="D246" s="2"/>
    </row>
    <row r="247">
      <c r="A247" s="85"/>
      <c r="D247" s="2"/>
    </row>
    <row r="248">
      <c r="A248" s="85"/>
      <c r="D248" s="2"/>
    </row>
    <row r="249">
      <c r="A249" s="85"/>
      <c r="D249" s="2"/>
    </row>
    <row r="250">
      <c r="A250" s="85"/>
      <c r="D250" s="2"/>
    </row>
    <row r="251">
      <c r="A251" s="85"/>
      <c r="D251" s="2"/>
    </row>
    <row r="252">
      <c r="A252" s="85"/>
      <c r="D252" s="2"/>
    </row>
    <row r="253">
      <c r="A253" s="85"/>
      <c r="D253" s="2"/>
    </row>
    <row r="254">
      <c r="A254" s="85"/>
      <c r="D254" s="2"/>
    </row>
    <row r="255">
      <c r="A255" s="85"/>
      <c r="D255" s="2"/>
    </row>
    <row r="256">
      <c r="A256" s="85"/>
      <c r="D256" s="2"/>
    </row>
    <row r="257">
      <c r="A257" s="85"/>
      <c r="D257" s="2"/>
    </row>
    <row r="258">
      <c r="A258" s="85"/>
      <c r="D258" s="2"/>
    </row>
    <row r="259">
      <c r="A259" s="85"/>
      <c r="D259" s="2"/>
    </row>
    <row r="260">
      <c r="A260" s="85"/>
      <c r="D260" s="2"/>
    </row>
    <row r="261">
      <c r="A261" s="85"/>
      <c r="D261" s="2"/>
    </row>
    <row r="262">
      <c r="A262" s="85"/>
      <c r="D262" s="2"/>
    </row>
    <row r="263">
      <c r="A263" s="85"/>
      <c r="D263" s="2"/>
    </row>
    <row r="264">
      <c r="A264" s="85"/>
      <c r="D264" s="2"/>
    </row>
    <row r="265">
      <c r="A265" s="85"/>
      <c r="D265" s="2"/>
    </row>
    <row r="266">
      <c r="A266" s="85"/>
      <c r="D266" s="2"/>
    </row>
    <row r="267">
      <c r="A267" s="85"/>
      <c r="D267" s="2"/>
    </row>
    <row r="268">
      <c r="A268" s="85"/>
      <c r="D268" s="2"/>
    </row>
    <row r="269">
      <c r="A269" s="85"/>
      <c r="D269" s="2"/>
    </row>
    <row r="270">
      <c r="A270" s="85"/>
      <c r="D270" s="2"/>
    </row>
    <row r="271">
      <c r="A271" s="85"/>
      <c r="D271" s="2"/>
    </row>
    <row r="272">
      <c r="A272" s="85"/>
      <c r="D272" s="2"/>
    </row>
    <row r="273">
      <c r="A273" s="85"/>
      <c r="D273" s="2"/>
    </row>
    <row r="274">
      <c r="A274" s="85"/>
      <c r="D274" s="2"/>
    </row>
    <row r="275">
      <c r="A275" s="85"/>
      <c r="D275" s="2"/>
    </row>
    <row r="276">
      <c r="A276" s="85"/>
      <c r="D276" s="2"/>
    </row>
    <row r="277">
      <c r="A277" s="85"/>
      <c r="D277" s="2"/>
    </row>
    <row r="278">
      <c r="A278" s="85"/>
      <c r="D278" s="2"/>
    </row>
    <row r="279">
      <c r="A279" s="85"/>
      <c r="D279" s="2"/>
    </row>
    <row r="280">
      <c r="A280" s="85"/>
      <c r="D280" s="2"/>
    </row>
    <row r="281">
      <c r="A281" s="85"/>
      <c r="D281" s="2"/>
    </row>
    <row r="282">
      <c r="A282" s="85"/>
      <c r="D282" s="2"/>
    </row>
    <row r="283">
      <c r="A283" s="85"/>
      <c r="D283" s="2"/>
    </row>
    <row r="284">
      <c r="A284" s="85"/>
      <c r="D284" s="2"/>
    </row>
    <row r="285">
      <c r="A285" s="85"/>
      <c r="D285" s="2"/>
    </row>
    <row r="286">
      <c r="A286" s="85"/>
      <c r="D286" s="2"/>
    </row>
    <row r="287">
      <c r="A287" s="85"/>
      <c r="D287" s="2"/>
    </row>
    <row r="288">
      <c r="A288" s="85"/>
      <c r="D288" s="2"/>
    </row>
    <row r="289">
      <c r="A289" s="85"/>
      <c r="D289" s="2"/>
    </row>
    <row r="290">
      <c r="A290" s="85"/>
      <c r="D290" s="2"/>
    </row>
    <row r="291">
      <c r="A291" s="85"/>
      <c r="D291" s="2"/>
    </row>
    <row r="292">
      <c r="A292" s="85"/>
      <c r="D292" s="2"/>
    </row>
    <row r="293">
      <c r="A293" s="85"/>
      <c r="D293" s="2"/>
    </row>
    <row r="294">
      <c r="A294" s="85"/>
      <c r="D294" s="2"/>
    </row>
    <row r="295">
      <c r="A295" s="85"/>
      <c r="D295" s="2"/>
    </row>
    <row r="296">
      <c r="A296" s="85"/>
      <c r="D296" s="2"/>
    </row>
    <row r="297">
      <c r="A297" s="85"/>
      <c r="D297" s="2"/>
    </row>
    <row r="298">
      <c r="A298" s="85"/>
      <c r="D298" s="2"/>
    </row>
    <row r="299">
      <c r="A299" s="85"/>
      <c r="D299" s="2"/>
    </row>
    <row r="300">
      <c r="A300" s="85"/>
      <c r="D300" s="2"/>
    </row>
    <row r="301">
      <c r="A301" s="85"/>
      <c r="D301" s="2"/>
    </row>
    <row r="302">
      <c r="A302" s="85"/>
      <c r="D302" s="2"/>
    </row>
    <row r="303">
      <c r="A303" s="85"/>
      <c r="D303" s="2"/>
    </row>
    <row r="304">
      <c r="A304" s="85"/>
      <c r="D304" s="2"/>
    </row>
    <row r="305">
      <c r="A305" s="85"/>
      <c r="D305" s="2"/>
    </row>
    <row r="306">
      <c r="A306" s="85"/>
      <c r="D306" s="2"/>
    </row>
    <row r="307">
      <c r="A307" s="85"/>
      <c r="D307" s="2"/>
    </row>
    <row r="308">
      <c r="A308" s="85"/>
      <c r="D308" s="2"/>
    </row>
    <row r="309">
      <c r="A309" s="85"/>
      <c r="D309" s="2"/>
    </row>
    <row r="310">
      <c r="A310" s="85"/>
      <c r="D310" s="2"/>
    </row>
    <row r="311">
      <c r="A311" s="85"/>
      <c r="D311" s="2"/>
    </row>
    <row r="312">
      <c r="A312" s="85"/>
      <c r="D312" s="2"/>
    </row>
    <row r="313">
      <c r="A313" s="85"/>
      <c r="D313" s="2"/>
    </row>
    <row r="314">
      <c r="A314" s="85"/>
      <c r="D314" s="2"/>
    </row>
    <row r="315">
      <c r="A315" s="85"/>
      <c r="D315" s="2"/>
    </row>
    <row r="316">
      <c r="A316" s="85"/>
      <c r="D316" s="2"/>
    </row>
    <row r="317">
      <c r="A317" s="85"/>
      <c r="D317" s="2"/>
    </row>
    <row r="318">
      <c r="A318" s="85"/>
      <c r="D318" s="2"/>
    </row>
    <row r="319">
      <c r="A319" s="85"/>
      <c r="D319" s="2"/>
    </row>
    <row r="320">
      <c r="A320" s="85"/>
      <c r="D320" s="2"/>
    </row>
    <row r="321">
      <c r="A321" s="85"/>
      <c r="D321" s="2"/>
    </row>
    <row r="322">
      <c r="A322" s="85"/>
      <c r="D322" s="2"/>
    </row>
    <row r="323">
      <c r="A323" s="85"/>
      <c r="D323" s="2"/>
    </row>
    <row r="324">
      <c r="A324" s="85"/>
      <c r="D324" s="2"/>
    </row>
    <row r="325">
      <c r="A325" s="85"/>
      <c r="D325" s="2"/>
    </row>
    <row r="326">
      <c r="A326" s="85"/>
      <c r="D326" s="2"/>
    </row>
    <row r="327">
      <c r="A327" s="85"/>
      <c r="D327" s="2"/>
    </row>
    <row r="328">
      <c r="A328" s="85"/>
      <c r="D328" s="2"/>
    </row>
    <row r="329">
      <c r="A329" s="85"/>
      <c r="D329" s="2"/>
    </row>
    <row r="330">
      <c r="A330" s="85"/>
      <c r="D330" s="2"/>
    </row>
    <row r="331">
      <c r="A331" s="85"/>
      <c r="D331" s="2"/>
    </row>
    <row r="332">
      <c r="A332" s="85"/>
      <c r="D332" s="2"/>
    </row>
    <row r="333">
      <c r="A333" s="85"/>
      <c r="D333" s="2"/>
    </row>
    <row r="334">
      <c r="A334" s="85"/>
      <c r="D334" s="2"/>
    </row>
    <row r="335">
      <c r="A335" s="85"/>
      <c r="D335" s="2"/>
    </row>
    <row r="336">
      <c r="A336" s="85"/>
      <c r="D336" s="2"/>
    </row>
    <row r="337">
      <c r="A337" s="85"/>
      <c r="D337" s="2"/>
    </row>
    <row r="338">
      <c r="A338" s="85"/>
      <c r="D338" s="2"/>
    </row>
    <row r="339">
      <c r="A339" s="85"/>
      <c r="D339" s="2"/>
    </row>
    <row r="340">
      <c r="A340" s="85"/>
      <c r="D340" s="2"/>
    </row>
    <row r="341">
      <c r="A341" s="85"/>
      <c r="D341" s="2"/>
    </row>
    <row r="342">
      <c r="A342" s="85"/>
      <c r="D342" s="2"/>
    </row>
    <row r="343">
      <c r="A343" s="85"/>
      <c r="D343" s="2"/>
    </row>
    <row r="344">
      <c r="A344" s="85"/>
      <c r="D344" s="2"/>
    </row>
    <row r="345">
      <c r="A345" s="85"/>
      <c r="D345" s="2"/>
    </row>
    <row r="346">
      <c r="A346" s="85"/>
      <c r="D346" s="2"/>
    </row>
    <row r="347">
      <c r="A347" s="85"/>
      <c r="D347" s="2"/>
    </row>
    <row r="348">
      <c r="A348" s="85"/>
      <c r="D348" s="2"/>
    </row>
    <row r="349">
      <c r="A349" s="85"/>
      <c r="D349" s="2"/>
    </row>
    <row r="350">
      <c r="A350" s="85"/>
      <c r="D350" s="2"/>
    </row>
    <row r="351">
      <c r="A351" s="85"/>
      <c r="D351" s="2"/>
    </row>
    <row r="352">
      <c r="A352" s="85"/>
      <c r="D352" s="2"/>
    </row>
    <row r="353">
      <c r="A353" s="85"/>
      <c r="D353" s="2"/>
    </row>
    <row r="354">
      <c r="A354" s="85"/>
      <c r="D354" s="2"/>
    </row>
    <row r="355">
      <c r="A355" s="85"/>
      <c r="D355" s="2"/>
    </row>
    <row r="356">
      <c r="A356" s="85"/>
      <c r="D356" s="2"/>
    </row>
    <row r="357">
      <c r="A357" s="85"/>
      <c r="D357" s="2"/>
    </row>
    <row r="358">
      <c r="A358" s="85"/>
      <c r="D358" s="2"/>
    </row>
    <row r="359">
      <c r="A359" s="85"/>
      <c r="D359" s="2"/>
    </row>
    <row r="360">
      <c r="A360" s="85"/>
      <c r="D360" s="2"/>
    </row>
    <row r="361">
      <c r="A361" s="85"/>
      <c r="D361" s="2"/>
    </row>
    <row r="362">
      <c r="A362" s="85"/>
      <c r="D362" s="2"/>
    </row>
    <row r="363">
      <c r="A363" s="85"/>
      <c r="D363" s="2"/>
    </row>
    <row r="364">
      <c r="A364" s="85"/>
      <c r="D364" s="2"/>
    </row>
    <row r="365">
      <c r="A365" s="85"/>
      <c r="D365" s="2"/>
    </row>
    <row r="366">
      <c r="A366" s="85"/>
      <c r="D366" s="2"/>
    </row>
    <row r="367">
      <c r="A367" s="85"/>
      <c r="D367" s="2"/>
    </row>
    <row r="368">
      <c r="A368" s="85"/>
      <c r="D368" s="2"/>
    </row>
    <row r="369">
      <c r="A369" s="85"/>
      <c r="D369" s="2"/>
    </row>
    <row r="370">
      <c r="A370" s="85"/>
      <c r="D370" s="2"/>
    </row>
    <row r="371">
      <c r="A371" s="85"/>
      <c r="D371" s="2"/>
    </row>
    <row r="372">
      <c r="A372" s="85"/>
      <c r="D372" s="2"/>
    </row>
    <row r="373">
      <c r="A373" s="85"/>
      <c r="D373" s="2"/>
    </row>
    <row r="374">
      <c r="A374" s="85"/>
      <c r="D374" s="2"/>
    </row>
    <row r="375">
      <c r="A375" s="85"/>
      <c r="D375" s="2"/>
    </row>
    <row r="376">
      <c r="A376" s="85"/>
      <c r="D376" s="2"/>
    </row>
    <row r="377">
      <c r="A377" s="85"/>
      <c r="D377" s="2"/>
    </row>
    <row r="378">
      <c r="A378" s="85"/>
      <c r="D378" s="2"/>
    </row>
    <row r="379">
      <c r="A379" s="85"/>
      <c r="D379" s="2"/>
    </row>
    <row r="380">
      <c r="A380" s="85"/>
      <c r="D380" s="2"/>
    </row>
    <row r="381">
      <c r="A381" s="85"/>
      <c r="D381" s="2"/>
    </row>
    <row r="382">
      <c r="A382" s="85"/>
      <c r="D382" s="2"/>
    </row>
    <row r="383">
      <c r="A383" s="85"/>
      <c r="D383" s="2"/>
    </row>
    <row r="384">
      <c r="A384" s="85"/>
      <c r="D384" s="2"/>
    </row>
    <row r="385">
      <c r="A385" s="85"/>
      <c r="D385" s="2"/>
    </row>
    <row r="386">
      <c r="A386" s="85"/>
      <c r="D386" s="2"/>
    </row>
    <row r="387">
      <c r="A387" s="85"/>
      <c r="D387" s="2"/>
    </row>
    <row r="388">
      <c r="A388" s="85"/>
      <c r="D388" s="2"/>
    </row>
    <row r="389">
      <c r="A389" s="85"/>
      <c r="D389" s="2"/>
    </row>
    <row r="390">
      <c r="A390" s="85"/>
      <c r="D390" s="2"/>
    </row>
    <row r="391">
      <c r="A391" s="85"/>
      <c r="D391" s="2"/>
    </row>
    <row r="392">
      <c r="A392" s="85"/>
      <c r="D392" s="2"/>
    </row>
    <row r="393">
      <c r="A393" s="85"/>
      <c r="D393" s="2"/>
    </row>
    <row r="394">
      <c r="A394" s="85"/>
      <c r="D394" s="2"/>
    </row>
    <row r="395">
      <c r="A395" s="85"/>
      <c r="D395" s="2"/>
    </row>
    <row r="396">
      <c r="A396" s="85"/>
      <c r="D396" s="2"/>
    </row>
    <row r="397">
      <c r="A397" s="85"/>
      <c r="D397" s="2"/>
    </row>
    <row r="398">
      <c r="A398" s="85"/>
      <c r="D398" s="2"/>
    </row>
    <row r="399">
      <c r="A399" s="85"/>
      <c r="D399" s="2"/>
    </row>
    <row r="400">
      <c r="A400" s="85"/>
      <c r="D400" s="2"/>
    </row>
    <row r="401">
      <c r="A401" s="85"/>
      <c r="D401" s="2"/>
    </row>
    <row r="402">
      <c r="A402" s="85"/>
      <c r="D402" s="2"/>
    </row>
    <row r="403">
      <c r="A403" s="85"/>
      <c r="D403" s="2"/>
    </row>
    <row r="404">
      <c r="A404" s="85"/>
      <c r="D404" s="2"/>
    </row>
    <row r="405">
      <c r="A405" s="85"/>
      <c r="D405" s="2"/>
    </row>
    <row r="406">
      <c r="A406" s="85"/>
      <c r="D406" s="2"/>
    </row>
    <row r="407">
      <c r="A407" s="85"/>
      <c r="D407" s="2"/>
    </row>
    <row r="408">
      <c r="A408" s="85"/>
      <c r="D408" s="2"/>
    </row>
    <row r="409">
      <c r="A409" s="85"/>
      <c r="D409" s="2"/>
    </row>
    <row r="410">
      <c r="A410" s="85"/>
      <c r="D410" s="2"/>
    </row>
    <row r="411">
      <c r="A411" s="85"/>
      <c r="D411" s="2"/>
    </row>
    <row r="412">
      <c r="A412" s="85"/>
      <c r="D412" s="2"/>
    </row>
    <row r="413">
      <c r="A413" s="85"/>
      <c r="D413" s="2"/>
    </row>
    <row r="414">
      <c r="A414" s="85"/>
      <c r="D414" s="2"/>
    </row>
    <row r="415">
      <c r="A415" s="85"/>
      <c r="D415" s="2"/>
    </row>
    <row r="416">
      <c r="A416" s="85"/>
      <c r="D416" s="2"/>
    </row>
    <row r="417">
      <c r="A417" s="85"/>
      <c r="D417" s="2"/>
    </row>
    <row r="418">
      <c r="A418" s="85"/>
      <c r="D418" s="2"/>
    </row>
    <row r="419">
      <c r="A419" s="85"/>
      <c r="D419" s="2"/>
    </row>
    <row r="420">
      <c r="A420" s="85"/>
      <c r="D420" s="2"/>
    </row>
    <row r="421">
      <c r="A421" s="85"/>
      <c r="D421" s="2"/>
    </row>
    <row r="422">
      <c r="A422" s="85"/>
      <c r="D422" s="2"/>
    </row>
    <row r="423">
      <c r="A423" s="85"/>
      <c r="D423" s="2"/>
    </row>
    <row r="424">
      <c r="A424" s="85"/>
      <c r="D424" s="2"/>
    </row>
    <row r="425">
      <c r="A425" s="85"/>
      <c r="D425" s="2"/>
    </row>
    <row r="426">
      <c r="A426" s="85"/>
      <c r="D426" s="2"/>
    </row>
    <row r="427">
      <c r="A427" s="85"/>
      <c r="D427" s="2"/>
    </row>
    <row r="428">
      <c r="A428" s="85"/>
      <c r="D428" s="2"/>
    </row>
    <row r="429">
      <c r="A429" s="85"/>
      <c r="D429" s="2"/>
    </row>
    <row r="430">
      <c r="A430" s="85"/>
      <c r="D430" s="2"/>
    </row>
    <row r="431">
      <c r="A431" s="85"/>
      <c r="D431" s="2"/>
    </row>
    <row r="432">
      <c r="A432" s="85"/>
      <c r="D432" s="2"/>
    </row>
    <row r="433">
      <c r="A433" s="85"/>
      <c r="D433" s="2"/>
    </row>
    <row r="434">
      <c r="A434" s="85"/>
      <c r="D434" s="2"/>
    </row>
    <row r="435">
      <c r="A435" s="85"/>
      <c r="D435" s="2"/>
    </row>
    <row r="436">
      <c r="A436" s="85"/>
      <c r="D436" s="2"/>
    </row>
    <row r="437">
      <c r="A437" s="85"/>
      <c r="D437" s="2"/>
    </row>
    <row r="438">
      <c r="A438" s="85"/>
      <c r="D438" s="2"/>
    </row>
    <row r="439">
      <c r="A439" s="85"/>
      <c r="D439" s="2"/>
    </row>
    <row r="440">
      <c r="A440" s="85"/>
      <c r="D440" s="2"/>
    </row>
    <row r="441">
      <c r="A441" s="85"/>
      <c r="D441" s="2"/>
    </row>
    <row r="442">
      <c r="A442" s="85"/>
      <c r="D442" s="2"/>
    </row>
    <row r="443">
      <c r="A443" s="85"/>
      <c r="D443" s="2"/>
    </row>
    <row r="444">
      <c r="A444" s="85"/>
      <c r="D444" s="2"/>
    </row>
    <row r="445">
      <c r="A445" s="85"/>
      <c r="D445" s="2"/>
    </row>
    <row r="446">
      <c r="A446" s="85"/>
      <c r="D446" s="2"/>
    </row>
    <row r="447">
      <c r="A447" s="85"/>
      <c r="D447" s="2"/>
    </row>
    <row r="448">
      <c r="A448" s="85"/>
      <c r="D448" s="2"/>
    </row>
    <row r="449">
      <c r="A449" s="85"/>
      <c r="D449" s="2"/>
    </row>
    <row r="450">
      <c r="A450" s="85"/>
      <c r="D450" s="2"/>
    </row>
    <row r="451">
      <c r="A451" s="85"/>
      <c r="D451" s="2"/>
    </row>
    <row r="452">
      <c r="A452" s="85"/>
      <c r="D452" s="2"/>
    </row>
    <row r="453">
      <c r="A453" s="85"/>
      <c r="D453" s="2"/>
    </row>
    <row r="454">
      <c r="A454" s="85"/>
      <c r="D454" s="2"/>
    </row>
    <row r="455">
      <c r="A455" s="85"/>
      <c r="D455" s="2"/>
    </row>
    <row r="456">
      <c r="A456" s="85"/>
      <c r="D456" s="2"/>
    </row>
    <row r="457">
      <c r="A457" s="85"/>
      <c r="D457" s="2"/>
    </row>
    <row r="458">
      <c r="A458" s="85"/>
      <c r="D458" s="2"/>
    </row>
    <row r="459">
      <c r="A459" s="85"/>
      <c r="D459" s="2"/>
    </row>
    <row r="460">
      <c r="A460" s="85"/>
      <c r="D460" s="2"/>
    </row>
    <row r="461">
      <c r="A461" s="85"/>
      <c r="D461" s="2"/>
    </row>
    <row r="462">
      <c r="A462" s="85"/>
      <c r="D462" s="2"/>
    </row>
    <row r="463">
      <c r="A463" s="85"/>
      <c r="D463" s="2"/>
    </row>
    <row r="464">
      <c r="A464" s="85"/>
      <c r="D464" s="2"/>
    </row>
    <row r="465">
      <c r="A465" s="85"/>
      <c r="D465" s="2"/>
    </row>
    <row r="466">
      <c r="A466" s="85"/>
      <c r="D466" s="2"/>
    </row>
    <row r="467">
      <c r="A467" s="85"/>
      <c r="D467" s="2"/>
    </row>
    <row r="468">
      <c r="A468" s="85"/>
      <c r="D468" s="2"/>
    </row>
    <row r="469">
      <c r="A469" s="85"/>
      <c r="D469" s="2"/>
    </row>
    <row r="470">
      <c r="A470" s="85"/>
      <c r="D470" s="2"/>
    </row>
    <row r="471">
      <c r="A471" s="85"/>
      <c r="D471" s="2"/>
    </row>
    <row r="472">
      <c r="A472" s="85"/>
      <c r="D472" s="2"/>
    </row>
    <row r="473">
      <c r="A473" s="85"/>
      <c r="D473" s="2"/>
    </row>
    <row r="474">
      <c r="A474" s="85"/>
      <c r="D474" s="2"/>
    </row>
    <row r="475">
      <c r="A475" s="85"/>
      <c r="D475" s="2"/>
    </row>
    <row r="476">
      <c r="A476" s="85"/>
      <c r="D476" s="2"/>
    </row>
    <row r="477">
      <c r="A477" s="85"/>
      <c r="D477" s="2"/>
    </row>
    <row r="478">
      <c r="A478" s="85"/>
      <c r="D478" s="2"/>
    </row>
    <row r="479">
      <c r="A479" s="85"/>
      <c r="D479" s="2"/>
    </row>
    <row r="480">
      <c r="A480" s="85"/>
      <c r="D480" s="2"/>
    </row>
    <row r="481">
      <c r="A481" s="85"/>
      <c r="D481" s="2"/>
    </row>
    <row r="482">
      <c r="A482" s="85"/>
      <c r="D482" s="2"/>
    </row>
    <row r="483">
      <c r="A483" s="85"/>
      <c r="D483" s="2"/>
    </row>
    <row r="484">
      <c r="A484" s="85"/>
      <c r="D484" s="2"/>
    </row>
    <row r="485">
      <c r="A485" s="85"/>
      <c r="D485" s="2"/>
    </row>
    <row r="486">
      <c r="A486" s="85"/>
      <c r="D486" s="2"/>
    </row>
    <row r="487">
      <c r="A487" s="85"/>
      <c r="D487" s="2"/>
    </row>
    <row r="488">
      <c r="A488" s="85"/>
      <c r="D488" s="2"/>
    </row>
    <row r="489">
      <c r="A489" s="85"/>
      <c r="D489" s="2"/>
    </row>
    <row r="490">
      <c r="A490" s="85"/>
      <c r="D490" s="2"/>
    </row>
    <row r="491">
      <c r="A491" s="85"/>
      <c r="D491" s="2"/>
    </row>
    <row r="492">
      <c r="A492" s="85"/>
      <c r="D492" s="2"/>
    </row>
    <row r="493">
      <c r="A493" s="85"/>
      <c r="D493" s="2"/>
    </row>
    <row r="494">
      <c r="A494" s="85"/>
      <c r="D494" s="2"/>
    </row>
    <row r="495">
      <c r="A495" s="85"/>
      <c r="D495" s="2"/>
    </row>
    <row r="496">
      <c r="A496" s="85"/>
      <c r="D496" s="2"/>
    </row>
    <row r="497">
      <c r="A497" s="85"/>
      <c r="D497" s="2"/>
    </row>
    <row r="498">
      <c r="A498" s="85"/>
      <c r="D498" s="2"/>
    </row>
    <row r="499">
      <c r="A499" s="85"/>
      <c r="D499" s="2"/>
    </row>
    <row r="500">
      <c r="A500" s="85"/>
      <c r="D500" s="2"/>
    </row>
    <row r="501">
      <c r="A501" s="85"/>
      <c r="D501" s="2"/>
    </row>
    <row r="502">
      <c r="A502" s="85"/>
      <c r="D502" s="2"/>
    </row>
    <row r="503">
      <c r="A503" s="85"/>
      <c r="D503" s="2"/>
    </row>
    <row r="504">
      <c r="A504" s="85"/>
      <c r="D504" s="2"/>
    </row>
    <row r="505">
      <c r="A505" s="85"/>
      <c r="D505" s="2"/>
    </row>
    <row r="506">
      <c r="A506" s="85"/>
      <c r="D506" s="2"/>
    </row>
    <row r="507">
      <c r="A507" s="85"/>
      <c r="D507" s="2"/>
    </row>
    <row r="508">
      <c r="A508" s="85"/>
      <c r="D508" s="2"/>
    </row>
    <row r="509">
      <c r="A509" s="85"/>
      <c r="D509" s="2"/>
    </row>
    <row r="510">
      <c r="A510" s="85"/>
      <c r="D510" s="2"/>
    </row>
    <row r="511">
      <c r="A511" s="85"/>
      <c r="D511" s="2"/>
    </row>
    <row r="512">
      <c r="A512" s="85"/>
      <c r="D512" s="2"/>
    </row>
    <row r="513">
      <c r="A513" s="85"/>
      <c r="D513" s="2"/>
    </row>
    <row r="514">
      <c r="A514" s="85"/>
      <c r="D514" s="2"/>
    </row>
    <row r="515">
      <c r="A515" s="85"/>
      <c r="D515" s="2"/>
    </row>
    <row r="516">
      <c r="A516" s="85"/>
      <c r="D516" s="2"/>
    </row>
    <row r="517">
      <c r="A517" s="85"/>
      <c r="D517" s="2"/>
    </row>
    <row r="518">
      <c r="A518" s="85"/>
      <c r="D518" s="2"/>
    </row>
    <row r="519">
      <c r="A519" s="85"/>
      <c r="D519" s="2"/>
    </row>
    <row r="520">
      <c r="A520" s="85"/>
      <c r="D520" s="2"/>
    </row>
    <row r="521">
      <c r="A521" s="85"/>
      <c r="D521" s="2"/>
    </row>
    <row r="522">
      <c r="A522" s="85"/>
      <c r="D522" s="2"/>
    </row>
    <row r="523">
      <c r="A523" s="85"/>
      <c r="D523" s="2"/>
    </row>
    <row r="524">
      <c r="A524" s="85"/>
      <c r="D524" s="2"/>
    </row>
    <row r="525">
      <c r="A525" s="85"/>
      <c r="D525" s="2"/>
    </row>
    <row r="526">
      <c r="A526" s="85"/>
      <c r="D526" s="2"/>
    </row>
    <row r="527">
      <c r="A527" s="85"/>
      <c r="D527" s="2"/>
    </row>
    <row r="528">
      <c r="A528" s="85"/>
      <c r="D528" s="2"/>
    </row>
    <row r="529">
      <c r="A529" s="85"/>
      <c r="D529" s="2"/>
    </row>
    <row r="530">
      <c r="A530" s="85"/>
      <c r="D530" s="2"/>
    </row>
    <row r="531">
      <c r="A531" s="85"/>
      <c r="D531" s="2"/>
    </row>
    <row r="532">
      <c r="A532" s="85"/>
      <c r="D532" s="2"/>
    </row>
    <row r="533">
      <c r="A533" s="85"/>
      <c r="D533" s="2"/>
    </row>
    <row r="534">
      <c r="A534" s="85"/>
      <c r="D534" s="2"/>
    </row>
    <row r="535">
      <c r="A535" s="85"/>
      <c r="D535" s="2"/>
    </row>
    <row r="536">
      <c r="A536" s="85"/>
      <c r="D536" s="2"/>
    </row>
    <row r="537">
      <c r="A537" s="85"/>
      <c r="D537" s="2"/>
    </row>
    <row r="538">
      <c r="A538" s="85"/>
      <c r="D538" s="2"/>
    </row>
    <row r="539">
      <c r="A539" s="85"/>
      <c r="D539" s="2"/>
    </row>
    <row r="540">
      <c r="A540" s="85"/>
      <c r="D540" s="2"/>
    </row>
    <row r="541">
      <c r="A541" s="85"/>
      <c r="D541" s="2"/>
    </row>
    <row r="542">
      <c r="A542" s="85"/>
      <c r="D542" s="2"/>
    </row>
    <row r="543">
      <c r="A543" s="85"/>
      <c r="D543" s="2"/>
    </row>
    <row r="544">
      <c r="A544" s="85"/>
      <c r="D544" s="2"/>
    </row>
    <row r="545">
      <c r="A545" s="85"/>
      <c r="D545" s="2"/>
    </row>
    <row r="546">
      <c r="A546" s="85"/>
      <c r="D546" s="2"/>
    </row>
    <row r="547">
      <c r="A547" s="85"/>
      <c r="D547" s="2"/>
    </row>
    <row r="548">
      <c r="A548" s="85"/>
      <c r="D548" s="2"/>
    </row>
    <row r="549">
      <c r="A549" s="85"/>
      <c r="D549" s="2"/>
    </row>
    <row r="550">
      <c r="A550" s="85"/>
      <c r="D550" s="2"/>
    </row>
    <row r="551">
      <c r="A551" s="85"/>
      <c r="D551" s="2"/>
    </row>
    <row r="552">
      <c r="A552" s="85"/>
      <c r="D552" s="2"/>
    </row>
    <row r="553">
      <c r="A553" s="85"/>
      <c r="D553" s="2"/>
    </row>
    <row r="554">
      <c r="A554" s="85"/>
      <c r="D554" s="2"/>
    </row>
    <row r="555">
      <c r="A555" s="85"/>
      <c r="D555" s="2"/>
    </row>
    <row r="556">
      <c r="A556" s="85"/>
      <c r="D556" s="2"/>
    </row>
    <row r="557">
      <c r="A557" s="85"/>
      <c r="D557" s="2"/>
    </row>
    <row r="558">
      <c r="A558" s="85"/>
      <c r="D558" s="2"/>
    </row>
    <row r="559">
      <c r="A559" s="85"/>
      <c r="D559" s="2"/>
    </row>
    <row r="560">
      <c r="A560" s="85"/>
      <c r="D560" s="2"/>
    </row>
    <row r="561">
      <c r="A561" s="85"/>
      <c r="D561" s="2"/>
    </row>
    <row r="562">
      <c r="A562" s="85"/>
      <c r="D562" s="2"/>
    </row>
    <row r="563">
      <c r="A563" s="85"/>
      <c r="D563" s="2"/>
    </row>
    <row r="564">
      <c r="A564" s="85"/>
      <c r="D564" s="2"/>
    </row>
    <row r="565">
      <c r="A565" s="85"/>
      <c r="D565" s="2"/>
    </row>
    <row r="566">
      <c r="A566" s="85"/>
      <c r="D566" s="2"/>
    </row>
    <row r="567">
      <c r="A567" s="85"/>
      <c r="D567" s="2"/>
    </row>
    <row r="568">
      <c r="A568" s="85"/>
      <c r="D568" s="2"/>
    </row>
    <row r="569">
      <c r="A569" s="85"/>
      <c r="D569" s="2"/>
    </row>
    <row r="570">
      <c r="A570" s="85"/>
      <c r="D570" s="2"/>
    </row>
    <row r="571">
      <c r="A571" s="85"/>
      <c r="D571" s="2"/>
    </row>
    <row r="572">
      <c r="A572" s="85"/>
      <c r="D572" s="2"/>
    </row>
    <row r="573">
      <c r="A573" s="85"/>
      <c r="D573" s="2"/>
    </row>
    <row r="574">
      <c r="A574" s="85"/>
      <c r="D574" s="2"/>
    </row>
    <row r="575">
      <c r="A575" s="85"/>
      <c r="D575" s="2"/>
    </row>
    <row r="576">
      <c r="A576" s="85"/>
      <c r="D576" s="2"/>
    </row>
    <row r="577">
      <c r="A577" s="85"/>
      <c r="D577" s="2"/>
    </row>
    <row r="578">
      <c r="A578" s="85"/>
      <c r="D578" s="2"/>
    </row>
    <row r="579">
      <c r="A579" s="85"/>
      <c r="D579" s="2"/>
    </row>
    <row r="580">
      <c r="A580" s="85"/>
      <c r="D580" s="2"/>
    </row>
    <row r="581">
      <c r="A581" s="85"/>
      <c r="D581" s="2"/>
    </row>
    <row r="582">
      <c r="A582" s="85"/>
      <c r="D582" s="2"/>
    </row>
    <row r="583">
      <c r="A583" s="85"/>
      <c r="D583" s="2"/>
    </row>
    <row r="584">
      <c r="A584" s="85"/>
      <c r="D584" s="2"/>
    </row>
    <row r="585">
      <c r="A585" s="85"/>
      <c r="D585" s="2"/>
    </row>
    <row r="586">
      <c r="A586" s="85"/>
      <c r="D586" s="2"/>
    </row>
    <row r="587">
      <c r="A587" s="85"/>
      <c r="D587" s="2"/>
    </row>
    <row r="588">
      <c r="A588" s="85"/>
      <c r="D588" s="2"/>
    </row>
    <row r="589">
      <c r="A589" s="85"/>
      <c r="D589" s="2"/>
    </row>
    <row r="590">
      <c r="A590" s="85"/>
      <c r="D590" s="2"/>
    </row>
    <row r="591">
      <c r="A591" s="85"/>
      <c r="D591" s="2"/>
    </row>
    <row r="592">
      <c r="A592" s="85"/>
      <c r="D592" s="2"/>
    </row>
    <row r="593">
      <c r="A593" s="85"/>
      <c r="D593" s="2"/>
    </row>
    <row r="594">
      <c r="A594" s="85"/>
      <c r="D594" s="2"/>
    </row>
    <row r="595">
      <c r="A595" s="85"/>
      <c r="D595" s="2"/>
    </row>
    <row r="596">
      <c r="A596" s="85"/>
      <c r="D596" s="2"/>
    </row>
    <row r="597">
      <c r="A597" s="85"/>
      <c r="D597" s="2"/>
    </row>
    <row r="598">
      <c r="A598" s="85"/>
      <c r="D598" s="2"/>
    </row>
    <row r="599">
      <c r="A599" s="85"/>
      <c r="D599" s="2"/>
    </row>
    <row r="600">
      <c r="A600" s="85"/>
      <c r="D600" s="2"/>
    </row>
    <row r="601">
      <c r="A601" s="85"/>
      <c r="D601" s="2"/>
    </row>
    <row r="602">
      <c r="A602" s="85"/>
      <c r="D602" s="2"/>
    </row>
    <row r="603">
      <c r="A603" s="85"/>
      <c r="D603" s="2"/>
    </row>
    <row r="604">
      <c r="A604" s="85"/>
      <c r="D604" s="2"/>
    </row>
    <row r="605">
      <c r="A605" s="85"/>
      <c r="D605" s="2"/>
    </row>
    <row r="606">
      <c r="A606" s="85"/>
      <c r="D606" s="2"/>
    </row>
    <row r="607">
      <c r="A607" s="85"/>
      <c r="D607" s="2"/>
    </row>
    <row r="608">
      <c r="A608" s="85"/>
      <c r="D608" s="2"/>
    </row>
    <row r="609">
      <c r="A609" s="85"/>
      <c r="D609" s="2"/>
    </row>
    <row r="610">
      <c r="A610" s="85"/>
      <c r="D610" s="2"/>
    </row>
    <row r="611">
      <c r="A611" s="85"/>
      <c r="D611" s="2"/>
    </row>
    <row r="612">
      <c r="A612" s="85"/>
      <c r="D612" s="2"/>
    </row>
    <row r="613">
      <c r="A613" s="85"/>
      <c r="D613" s="2"/>
    </row>
    <row r="614">
      <c r="A614" s="85"/>
      <c r="D614" s="2"/>
    </row>
    <row r="615">
      <c r="A615" s="85"/>
      <c r="D615" s="2"/>
    </row>
    <row r="616">
      <c r="A616" s="85"/>
      <c r="D616" s="2"/>
    </row>
    <row r="617">
      <c r="A617" s="85"/>
      <c r="D617" s="2"/>
    </row>
    <row r="618">
      <c r="A618" s="85"/>
      <c r="D618" s="2"/>
    </row>
    <row r="619">
      <c r="A619" s="85"/>
      <c r="D619" s="2"/>
    </row>
    <row r="620">
      <c r="A620" s="85"/>
      <c r="D620" s="2"/>
    </row>
    <row r="621">
      <c r="A621" s="85"/>
      <c r="D621" s="2"/>
    </row>
    <row r="622">
      <c r="A622" s="85"/>
      <c r="D622" s="2"/>
    </row>
    <row r="623">
      <c r="A623" s="85"/>
      <c r="D623" s="2"/>
    </row>
    <row r="624">
      <c r="A624" s="85"/>
      <c r="D624" s="2"/>
    </row>
    <row r="625">
      <c r="A625" s="85"/>
      <c r="D625" s="2"/>
    </row>
    <row r="626">
      <c r="A626" s="85"/>
      <c r="D626" s="2"/>
    </row>
    <row r="627">
      <c r="A627" s="85"/>
      <c r="D627" s="2"/>
    </row>
    <row r="628">
      <c r="A628" s="85"/>
      <c r="D628" s="2"/>
    </row>
    <row r="629">
      <c r="A629" s="85"/>
      <c r="D629" s="2"/>
    </row>
    <row r="630">
      <c r="A630" s="85"/>
      <c r="D630" s="2"/>
    </row>
    <row r="631">
      <c r="A631" s="85"/>
      <c r="D631" s="2"/>
    </row>
    <row r="632">
      <c r="A632" s="85"/>
      <c r="D632" s="2"/>
    </row>
    <row r="633">
      <c r="A633" s="85"/>
      <c r="D633" s="2"/>
    </row>
    <row r="634">
      <c r="A634" s="85"/>
      <c r="D634" s="2"/>
    </row>
    <row r="635">
      <c r="A635" s="85"/>
      <c r="D635" s="2"/>
    </row>
    <row r="636">
      <c r="A636" s="85"/>
      <c r="D636" s="2"/>
    </row>
    <row r="637">
      <c r="A637" s="85"/>
      <c r="D637" s="2"/>
    </row>
    <row r="638">
      <c r="A638" s="85"/>
      <c r="D638" s="2"/>
    </row>
    <row r="639">
      <c r="A639" s="85"/>
      <c r="D639" s="2"/>
    </row>
    <row r="640">
      <c r="A640" s="85"/>
      <c r="D640" s="2"/>
    </row>
    <row r="641">
      <c r="A641" s="85"/>
      <c r="D641" s="2"/>
    </row>
    <row r="642">
      <c r="A642" s="85"/>
      <c r="D642" s="2"/>
    </row>
    <row r="643">
      <c r="A643" s="85"/>
      <c r="D643" s="2"/>
    </row>
    <row r="644">
      <c r="A644" s="85"/>
      <c r="D644" s="2"/>
    </row>
    <row r="645">
      <c r="A645" s="85"/>
      <c r="D645" s="2"/>
    </row>
    <row r="646">
      <c r="A646" s="85"/>
      <c r="D646" s="2"/>
    </row>
    <row r="647">
      <c r="A647" s="85"/>
      <c r="D647" s="2"/>
    </row>
    <row r="648">
      <c r="A648" s="85"/>
      <c r="D648" s="2"/>
    </row>
    <row r="649">
      <c r="A649" s="85"/>
      <c r="D649" s="2"/>
    </row>
    <row r="650">
      <c r="A650" s="85"/>
      <c r="D650" s="2"/>
    </row>
    <row r="651">
      <c r="A651" s="85"/>
      <c r="D651" s="2"/>
    </row>
    <row r="652">
      <c r="A652" s="85"/>
      <c r="D652" s="2"/>
    </row>
    <row r="653">
      <c r="A653" s="85"/>
      <c r="D653" s="2"/>
    </row>
    <row r="654">
      <c r="A654" s="85"/>
      <c r="D654" s="2"/>
    </row>
    <row r="655">
      <c r="A655" s="85"/>
      <c r="D655" s="2"/>
    </row>
    <row r="656">
      <c r="A656" s="85"/>
      <c r="D656" s="2"/>
    </row>
    <row r="657">
      <c r="A657" s="85"/>
      <c r="D657" s="2"/>
    </row>
    <row r="658">
      <c r="A658" s="85"/>
      <c r="D658" s="2"/>
    </row>
    <row r="659">
      <c r="A659" s="85"/>
      <c r="D659" s="2"/>
    </row>
    <row r="660">
      <c r="A660" s="85"/>
      <c r="D660" s="2"/>
    </row>
    <row r="661">
      <c r="A661" s="85"/>
      <c r="D661" s="2"/>
    </row>
    <row r="662">
      <c r="A662" s="85"/>
      <c r="D662" s="2"/>
    </row>
    <row r="663">
      <c r="A663" s="85"/>
      <c r="D663" s="2"/>
    </row>
    <row r="664">
      <c r="A664" s="85"/>
      <c r="D664" s="2"/>
    </row>
    <row r="665">
      <c r="A665" s="85"/>
      <c r="D665" s="2"/>
    </row>
    <row r="666">
      <c r="A666" s="85"/>
      <c r="D666" s="2"/>
    </row>
    <row r="667">
      <c r="A667" s="85"/>
      <c r="D667" s="2"/>
    </row>
    <row r="668">
      <c r="A668" s="85"/>
      <c r="D668" s="2"/>
    </row>
    <row r="669">
      <c r="A669" s="85"/>
      <c r="D669" s="2"/>
    </row>
    <row r="670">
      <c r="A670" s="85"/>
      <c r="D670" s="2"/>
    </row>
    <row r="671">
      <c r="A671" s="85"/>
      <c r="D671" s="2"/>
    </row>
    <row r="672">
      <c r="A672" s="85"/>
      <c r="D672" s="2"/>
    </row>
    <row r="673">
      <c r="A673" s="85"/>
      <c r="D673" s="2"/>
    </row>
    <row r="674">
      <c r="A674" s="85"/>
      <c r="D674" s="2"/>
    </row>
    <row r="675">
      <c r="A675" s="85"/>
      <c r="D675" s="2"/>
    </row>
    <row r="676">
      <c r="A676" s="85"/>
      <c r="D676" s="2"/>
    </row>
    <row r="677">
      <c r="A677" s="85"/>
      <c r="D677" s="2"/>
    </row>
    <row r="678">
      <c r="A678" s="85"/>
      <c r="D678" s="2"/>
    </row>
    <row r="679">
      <c r="A679" s="85"/>
      <c r="D679" s="2"/>
    </row>
    <row r="680">
      <c r="A680" s="85"/>
      <c r="D680" s="2"/>
    </row>
    <row r="681">
      <c r="A681" s="85"/>
      <c r="D681" s="2"/>
    </row>
    <row r="682">
      <c r="A682" s="85"/>
      <c r="D682" s="2"/>
    </row>
    <row r="683">
      <c r="A683" s="85"/>
      <c r="D683" s="2"/>
    </row>
    <row r="684">
      <c r="A684" s="85"/>
      <c r="D684" s="2"/>
    </row>
    <row r="685">
      <c r="A685" s="85"/>
      <c r="D685" s="2"/>
    </row>
    <row r="686">
      <c r="A686" s="85"/>
      <c r="D686" s="2"/>
    </row>
    <row r="687">
      <c r="A687" s="85"/>
      <c r="D687" s="2"/>
    </row>
    <row r="688">
      <c r="A688" s="85"/>
      <c r="D688" s="2"/>
    </row>
    <row r="689">
      <c r="A689" s="85"/>
      <c r="D689" s="2"/>
    </row>
    <row r="690">
      <c r="A690" s="85"/>
      <c r="D690" s="2"/>
    </row>
    <row r="691">
      <c r="A691" s="85"/>
      <c r="D691" s="2"/>
    </row>
    <row r="692">
      <c r="A692" s="85"/>
      <c r="D692" s="2"/>
    </row>
    <row r="693">
      <c r="A693" s="85"/>
      <c r="D693" s="2"/>
    </row>
    <row r="694">
      <c r="A694" s="85"/>
      <c r="D694" s="2"/>
    </row>
    <row r="695">
      <c r="A695" s="85"/>
      <c r="D695" s="2"/>
    </row>
    <row r="696">
      <c r="A696" s="85"/>
      <c r="D696" s="2"/>
    </row>
    <row r="697">
      <c r="A697" s="85"/>
      <c r="D697" s="2"/>
    </row>
    <row r="698">
      <c r="A698" s="85"/>
      <c r="D698" s="2"/>
    </row>
    <row r="699">
      <c r="A699" s="85"/>
      <c r="D699" s="2"/>
    </row>
    <row r="700">
      <c r="A700" s="85"/>
      <c r="D700" s="2"/>
    </row>
    <row r="701">
      <c r="A701" s="85"/>
      <c r="D701" s="2"/>
    </row>
    <row r="702">
      <c r="A702" s="85"/>
      <c r="D702" s="2"/>
    </row>
    <row r="703">
      <c r="A703" s="85"/>
      <c r="D703" s="2"/>
    </row>
    <row r="704">
      <c r="A704" s="85"/>
      <c r="D704" s="2"/>
    </row>
    <row r="705">
      <c r="A705" s="85"/>
      <c r="D705" s="2"/>
    </row>
    <row r="706">
      <c r="A706" s="85"/>
      <c r="D706" s="2"/>
    </row>
    <row r="707">
      <c r="A707" s="85"/>
      <c r="D707" s="2"/>
    </row>
    <row r="708">
      <c r="A708" s="85"/>
      <c r="D708" s="2"/>
    </row>
    <row r="709">
      <c r="A709" s="85"/>
      <c r="D709" s="2"/>
    </row>
    <row r="710">
      <c r="A710" s="85"/>
      <c r="D710" s="2"/>
    </row>
    <row r="711">
      <c r="A711" s="85"/>
      <c r="D711" s="2"/>
    </row>
    <row r="712">
      <c r="A712" s="85"/>
      <c r="D712" s="2"/>
    </row>
    <row r="713">
      <c r="A713" s="85"/>
      <c r="D713" s="2"/>
    </row>
    <row r="714">
      <c r="A714" s="85"/>
      <c r="D714" s="2"/>
    </row>
    <row r="715">
      <c r="A715" s="85"/>
      <c r="D715" s="2"/>
    </row>
    <row r="716">
      <c r="A716" s="85"/>
      <c r="D716" s="2"/>
    </row>
    <row r="717">
      <c r="A717" s="85"/>
      <c r="D717" s="2"/>
    </row>
    <row r="718">
      <c r="A718" s="85"/>
      <c r="D718" s="2"/>
    </row>
    <row r="719">
      <c r="A719" s="85"/>
      <c r="D719" s="2"/>
    </row>
    <row r="720">
      <c r="A720" s="85"/>
      <c r="D720" s="2"/>
    </row>
    <row r="721">
      <c r="A721" s="85"/>
      <c r="D721" s="2"/>
    </row>
    <row r="722">
      <c r="A722" s="85"/>
      <c r="D722" s="2"/>
    </row>
    <row r="723">
      <c r="A723" s="85"/>
      <c r="D723" s="2"/>
    </row>
    <row r="724">
      <c r="A724" s="85"/>
      <c r="D724" s="2"/>
    </row>
    <row r="725">
      <c r="A725" s="85"/>
      <c r="D725" s="2"/>
    </row>
    <row r="726">
      <c r="A726" s="85"/>
      <c r="D726" s="2"/>
    </row>
    <row r="727">
      <c r="A727" s="85"/>
      <c r="D727" s="2"/>
    </row>
    <row r="728">
      <c r="A728" s="85"/>
      <c r="D728" s="2"/>
    </row>
    <row r="729">
      <c r="A729" s="85"/>
      <c r="D729" s="2"/>
    </row>
    <row r="730">
      <c r="A730" s="85"/>
      <c r="D730" s="2"/>
    </row>
    <row r="731">
      <c r="A731" s="85"/>
      <c r="D731" s="2"/>
    </row>
    <row r="732">
      <c r="A732" s="85"/>
      <c r="D732" s="2"/>
    </row>
    <row r="733">
      <c r="A733" s="85"/>
      <c r="D733" s="2"/>
    </row>
    <row r="734">
      <c r="A734" s="85"/>
      <c r="D734" s="2"/>
    </row>
    <row r="735">
      <c r="A735" s="85"/>
      <c r="D735" s="2"/>
    </row>
    <row r="736">
      <c r="A736" s="85"/>
      <c r="D736" s="2"/>
    </row>
    <row r="737">
      <c r="A737" s="85"/>
      <c r="D737" s="2"/>
    </row>
    <row r="738">
      <c r="A738" s="85"/>
      <c r="D738" s="2"/>
    </row>
    <row r="739">
      <c r="A739" s="85"/>
      <c r="D739" s="2"/>
    </row>
    <row r="740">
      <c r="A740" s="85"/>
      <c r="D740" s="2"/>
    </row>
    <row r="741">
      <c r="A741" s="85"/>
      <c r="D741" s="2"/>
    </row>
    <row r="742">
      <c r="A742" s="85"/>
      <c r="D742" s="2"/>
    </row>
    <row r="743">
      <c r="A743" s="85"/>
      <c r="D743" s="2"/>
    </row>
    <row r="744">
      <c r="A744" s="85"/>
      <c r="D744" s="2"/>
    </row>
    <row r="745">
      <c r="A745" s="85"/>
      <c r="D745" s="2"/>
    </row>
    <row r="746">
      <c r="A746" s="85"/>
      <c r="D746" s="2"/>
    </row>
    <row r="747">
      <c r="A747" s="85"/>
      <c r="D747" s="2"/>
    </row>
    <row r="748">
      <c r="A748" s="85"/>
      <c r="D748" s="2"/>
    </row>
    <row r="749">
      <c r="A749" s="85"/>
      <c r="D749" s="2"/>
    </row>
    <row r="750">
      <c r="A750" s="85"/>
      <c r="D750" s="2"/>
    </row>
    <row r="751">
      <c r="A751" s="85"/>
      <c r="D751" s="2"/>
    </row>
    <row r="752">
      <c r="A752" s="85"/>
      <c r="D752" s="2"/>
    </row>
    <row r="753">
      <c r="A753" s="85"/>
      <c r="D753" s="2"/>
    </row>
    <row r="754">
      <c r="A754" s="85"/>
      <c r="D754" s="2"/>
    </row>
    <row r="755">
      <c r="A755" s="85"/>
      <c r="D755" s="2"/>
    </row>
    <row r="756">
      <c r="A756" s="85"/>
      <c r="D756" s="2"/>
    </row>
    <row r="757">
      <c r="A757" s="85"/>
      <c r="D757" s="2"/>
    </row>
    <row r="758">
      <c r="A758" s="85"/>
      <c r="D758" s="2"/>
    </row>
    <row r="759">
      <c r="A759" s="85"/>
      <c r="D759" s="2"/>
    </row>
    <row r="760">
      <c r="A760" s="85"/>
      <c r="D760" s="2"/>
    </row>
    <row r="761">
      <c r="A761" s="85"/>
      <c r="D761" s="2"/>
    </row>
    <row r="762">
      <c r="A762" s="85"/>
      <c r="D762" s="2"/>
    </row>
    <row r="763">
      <c r="A763" s="85"/>
      <c r="D763" s="2"/>
    </row>
    <row r="764">
      <c r="A764" s="85"/>
      <c r="D764" s="2"/>
    </row>
    <row r="765">
      <c r="A765" s="85"/>
      <c r="D765" s="2"/>
    </row>
    <row r="766">
      <c r="A766" s="85"/>
      <c r="D766" s="2"/>
    </row>
    <row r="767">
      <c r="A767" s="85"/>
      <c r="D767" s="2"/>
    </row>
    <row r="768">
      <c r="A768" s="85"/>
      <c r="D768" s="2"/>
    </row>
    <row r="769">
      <c r="A769" s="85"/>
      <c r="D769" s="2"/>
    </row>
    <row r="770">
      <c r="A770" s="85"/>
      <c r="D770" s="2"/>
    </row>
    <row r="771">
      <c r="A771" s="85"/>
      <c r="D771" s="2"/>
    </row>
    <row r="772">
      <c r="A772" s="85"/>
      <c r="D772" s="2"/>
    </row>
    <row r="773">
      <c r="A773" s="85"/>
      <c r="D773" s="2"/>
    </row>
    <row r="774">
      <c r="A774" s="85"/>
      <c r="D774" s="2"/>
    </row>
    <row r="775">
      <c r="A775" s="85"/>
      <c r="D775" s="2"/>
    </row>
    <row r="776">
      <c r="A776" s="85"/>
      <c r="D776" s="2"/>
    </row>
    <row r="777">
      <c r="A777" s="85"/>
      <c r="D777" s="2"/>
    </row>
    <row r="778">
      <c r="A778" s="85"/>
      <c r="D778" s="2"/>
    </row>
    <row r="779">
      <c r="A779" s="85"/>
      <c r="D779" s="2"/>
    </row>
    <row r="780">
      <c r="A780" s="85"/>
      <c r="D780" s="2"/>
    </row>
    <row r="781">
      <c r="A781" s="85"/>
      <c r="D781" s="2"/>
    </row>
    <row r="782">
      <c r="A782" s="85"/>
      <c r="D782" s="2"/>
    </row>
    <row r="783">
      <c r="A783" s="85"/>
      <c r="D783" s="2"/>
    </row>
    <row r="784">
      <c r="A784" s="85"/>
      <c r="D784" s="2"/>
    </row>
    <row r="785">
      <c r="A785" s="85"/>
      <c r="D785" s="2"/>
    </row>
    <row r="786">
      <c r="A786" s="85"/>
      <c r="D786" s="2"/>
    </row>
    <row r="787">
      <c r="A787" s="85"/>
      <c r="D787" s="2"/>
    </row>
    <row r="788">
      <c r="A788" s="85"/>
      <c r="D788" s="2"/>
    </row>
    <row r="789">
      <c r="A789" s="85"/>
      <c r="D789" s="2"/>
    </row>
    <row r="790">
      <c r="A790" s="85"/>
      <c r="D790" s="2"/>
    </row>
    <row r="791">
      <c r="A791" s="85"/>
      <c r="D791" s="2"/>
    </row>
    <row r="792">
      <c r="A792" s="85"/>
      <c r="D792" s="2"/>
    </row>
    <row r="793">
      <c r="A793" s="85"/>
      <c r="D793" s="2"/>
    </row>
    <row r="794">
      <c r="A794" s="85"/>
      <c r="D794" s="2"/>
    </row>
    <row r="795">
      <c r="A795" s="85"/>
      <c r="D795" s="2"/>
    </row>
    <row r="796">
      <c r="A796" s="85"/>
      <c r="D796" s="2"/>
    </row>
    <row r="797">
      <c r="A797" s="85"/>
      <c r="D797" s="2"/>
    </row>
    <row r="798">
      <c r="A798" s="85"/>
      <c r="D798" s="2"/>
    </row>
    <row r="799">
      <c r="A799" s="85"/>
      <c r="D799" s="2"/>
    </row>
    <row r="800">
      <c r="A800" s="85"/>
      <c r="D800" s="2"/>
    </row>
    <row r="801">
      <c r="A801" s="85"/>
      <c r="D801" s="2"/>
    </row>
    <row r="802">
      <c r="A802" s="85"/>
      <c r="D802" s="2"/>
    </row>
    <row r="803">
      <c r="A803" s="85"/>
      <c r="D803" s="2"/>
    </row>
    <row r="804">
      <c r="A804" s="85"/>
      <c r="D804" s="2"/>
    </row>
    <row r="805">
      <c r="A805" s="85"/>
      <c r="D805" s="2"/>
    </row>
    <row r="806">
      <c r="A806" s="85"/>
      <c r="D806" s="2"/>
    </row>
    <row r="807">
      <c r="A807" s="85"/>
      <c r="D807" s="2"/>
    </row>
    <row r="808">
      <c r="A808" s="85"/>
      <c r="D808" s="2"/>
    </row>
    <row r="809">
      <c r="A809" s="85"/>
      <c r="D809" s="2"/>
    </row>
    <row r="810">
      <c r="A810" s="85"/>
      <c r="D810" s="2"/>
    </row>
    <row r="811">
      <c r="A811" s="85"/>
      <c r="D811" s="2"/>
    </row>
    <row r="812">
      <c r="A812" s="85"/>
      <c r="D812" s="2"/>
    </row>
    <row r="813">
      <c r="A813" s="85"/>
      <c r="D813" s="2"/>
    </row>
    <row r="814">
      <c r="A814" s="85"/>
      <c r="D814" s="2"/>
    </row>
    <row r="815">
      <c r="A815" s="85"/>
      <c r="D815" s="2"/>
    </row>
    <row r="816">
      <c r="A816" s="85"/>
      <c r="D816" s="2"/>
    </row>
    <row r="817">
      <c r="A817" s="85"/>
      <c r="D817" s="2"/>
    </row>
    <row r="818">
      <c r="A818" s="85"/>
      <c r="D818" s="2"/>
    </row>
    <row r="819">
      <c r="A819" s="85"/>
      <c r="D819" s="2"/>
    </row>
    <row r="820">
      <c r="A820" s="85"/>
      <c r="D820" s="2"/>
    </row>
    <row r="821">
      <c r="A821" s="85"/>
      <c r="D821" s="2"/>
    </row>
    <row r="822">
      <c r="A822" s="85"/>
      <c r="D822" s="2"/>
    </row>
    <row r="823">
      <c r="A823" s="85"/>
      <c r="D823" s="2"/>
    </row>
    <row r="824">
      <c r="A824" s="85"/>
      <c r="D824" s="2"/>
    </row>
    <row r="825">
      <c r="A825" s="85"/>
      <c r="D825" s="2"/>
    </row>
    <row r="826">
      <c r="A826" s="85"/>
      <c r="D826" s="2"/>
    </row>
    <row r="827">
      <c r="A827" s="85"/>
      <c r="D827" s="2"/>
    </row>
    <row r="828">
      <c r="A828" s="85"/>
      <c r="D828" s="2"/>
    </row>
    <row r="829">
      <c r="A829" s="85"/>
      <c r="D829" s="2"/>
    </row>
    <row r="830">
      <c r="A830" s="85"/>
      <c r="D830" s="2"/>
    </row>
    <row r="831">
      <c r="A831" s="85"/>
      <c r="D831" s="2"/>
    </row>
    <row r="832">
      <c r="A832" s="85"/>
      <c r="D832" s="2"/>
    </row>
    <row r="833">
      <c r="A833" s="85"/>
      <c r="D833" s="2"/>
    </row>
    <row r="834">
      <c r="A834" s="85"/>
      <c r="D834" s="2"/>
    </row>
    <row r="835">
      <c r="A835" s="85"/>
      <c r="D835" s="2"/>
    </row>
    <row r="836">
      <c r="A836" s="85"/>
      <c r="D836" s="2"/>
    </row>
    <row r="837">
      <c r="A837" s="85"/>
      <c r="D837" s="2"/>
    </row>
    <row r="838">
      <c r="A838" s="85"/>
      <c r="D838" s="2"/>
    </row>
    <row r="839">
      <c r="A839" s="85"/>
      <c r="D839" s="2"/>
    </row>
    <row r="840">
      <c r="A840" s="85"/>
      <c r="D840" s="2"/>
    </row>
    <row r="841">
      <c r="A841" s="85"/>
      <c r="D841" s="2"/>
    </row>
    <row r="842">
      <c r="A842" s="85"/>
      <c r="D842" s="2"/>
    </row>
    <row r="843">
      <c r="A843" s="85"/>
      <c r="D843" s="2"/>
    </row>
    <row r="844">
      <c r="A844" s="85"/>
      <c r="D844" s="2"/>
    </row>
    <row r="845">
      <c r="A845" s="85"/>
      <c r="D845" s="2"/>
    </row>
    <row r="846">
      <c r="A846" s="85"/>
      <c r="D846" s="2"/>
    </row>
    <row r="847">
      <c r="A847" s="85"/>
      <c r="D847" s="2"/>
    </row>
    <row r="848">
      <c r="A848" s="85"/>
      <c r="D848" s="2"/>
    </row>
    <row r="849">
      <c r="A849" s="85"/>
      <c r="D849" s="2"/>
    </row>
    <row r="850">
      <c r="A850" s="85"/>
      <c r="D850" s="2"/>
    </row>
    <row r="851">
      <c r="A851" s="85"/>
      <c r="D851" s="2"/>
    </row>
    <row r="852">
      <c r="A852" s="85"/>
      <c r="D852" s="2"/>
    </row>
    <row r="853">
      <c r="A853" s="85"/>
      <c r="D853" s="2"/>
    </row>
    <row r="854">
      <c r="A854" s="85"/>
      <c r="D854" s="2"/>
    </row>
    <row r="855">
      <c r="A855" s="85"/>
      <c r="D855" s="2"/>
    </row>
    <row r="856">
      <c r="A856" s="85"/>
      <c r="D856" s="2"/>
    </row>
    <row r="857">
      <c r="A857" s="85"/>
      <c r="D857" s="2"/>
    </row>
    <row r="858">
      <c r="A858" s="85"/>
      <c r="D858" s="2"/>
    </row>
    <row r="859">
      <c r="A859" s="85"/>
      <c r="D859" s="2"/>
    </row>
    <row r="860">
      <c r="A860" s="85"/>
      <c r="D860" s="2"/>
    </row>
    <row r="861">
      <c r="A861" s="85"/>
      <c r="D861" s="2"/>
    </row>
    <row r="862">
      <c r="A862" s="85"/>
      <c r="D862" s="2"/>
    </row>
    <row r="863">
      <c r="A863" s="85"/>
      <c r="D863" s="2"/>
    </row>
    <row r="864">
      <c r="A864" s="85"/>
      <c r="D864" s="2"/>
    </row>
    <row r="865">
      <c r="A865" s="85"/>
      <c r="D865" s="2"/>
    </row>
    <row r="866">
      <c r="A866" s="85"/>
      <c r="D866" s="2"/>
    </row>
    <row r="867">
      <c r="A867" s="85"/>
      <c r="D867" s="2"/>
    </row>
    <row r="868">
      <c r="A868" s="85"/>
      <c r="D868" s="2"/>
    </row>
    <row r="869">
      <c r="A869" s="85"/>
      <c r="D869" s="2"/>
    </row>
    <row r="870">
      <c r="A870" s="85"/>
      <c r="D870" s="2"/>
    </row>
    <row r="871">
      <c r="A871" s="85"/>
      <c r="D871" s="2"/>
    </row>
    <row r="872">
      <c r="A872" s="85"/>
      <c r="D872" s="2"/>
    </row>
    <row r="873">
      <c r="A873" s="85"/>
      <c r="D873" s="2"/>
    </row>
    <row r="874">
      <c r="A874" s="85"/>
      <c r="D874" s="2"/>
    </row>
    <row r="875">
      <c r="A875" s="85"/>
      <c r="D875" s="2"/>
    </row>
    <row r="876">
      <c r="A876" s="85"/>
      <c r="D876" s="2"/>
    </row>
    <row r="877">
      <c r="A877" s="85"/>
      <c r="D877" s="2"/>
    </row>
    <row r="878">
      <c r="A878" s="85"/>
      <c r="D878" s="2"/>
    </row>
    <row r="879">
      <c r="A879" s="85"/>
      <c r="D879" s="2"/>
    </row>
    <row r="880">
      <c r="A880" s="85"/>
      <c r="D880" s="2"/>
    </row>
    <row r="881">
      <c r="A881" s="85"/>
      <c r="D881" s="2"/>
    </row>
    <row r="882">
      <c r="A882" s="85"/>
      <c r="D882" s="2"/>
    </row>
    <row r="883">
      <c r="A883" s="85"/>
      <c r="D883" s="2"/>
    </row>
    <row r="884">
      <c r="A884" s="85"/>
      <c r="D884" s="2"/>
    </row>
    <row r="885">
      <c r="A885" s="85"/>
      <c r="D885" s="2"/>
    </row>
    <row r="886">
      <c r="A886" s="85"/>
      <c r="D886" s="2"/>
    </row>
    <row r="887">
      <c r="A887" s="85"/>
      <c r="D887" s="2"/>
    </row>
    <row r="888">
      <c r="A888" s="85"/>
      <c r="D888" s="2"/>
    </row>
    <row r="889">
      <c r="A889" s="85"/>
      <c r="D889" s="2"/>
    </row>
    <row r="890">
      <c r="A890" s="85"/>
      <c r="D890" s="2"/>
    </row>
    <row r="891">
      <c r="A891" s="85"/>
      <c r="D891" s="2"/>
    </row>
    <row r="892">
      <c r="A892" s="85"/>
      <c r="D892" s="2"/>
    </row>
    <row r="893">
      <c r="A893" s="85"/>
      <c r="D893" s="2"/>
    </row>
    <row r="894">
      <c r="A894" s="85"/>
      <c r="D894" s="2"/>
    </row>
    <row r="895">
      <c r="A895" s="85"/>
      <c r="D895" s="2"/>
    </row>
    <row r="896">
      <c r="A896" s="85"/>
      <c r="D896" s="2"/>
    </row>
    <row r="897">
      <c r="A897" s="85"/>
      <c r="D897" s="2"/>
    </row>
    <row r="898">
      <c r="A898" s="85"/>
      <c r="D898" s="2"/>
    </row>
    <row r="899">
      <c r="A899" s="85"/>
      <c r="D899" s="2"/>
    </row>
    <row r="900">
      <c r="A900" s="85"/>
      <c r="D900" s="2"/>
    </row>
    <row r="901">
      <c r="A901" s="85"/>
      <c r="D901" s="2"/>
    </row>
    <row r="902">
      <c r="A902" s="85"/>
      <c r="D902" s="2"/>
    </row>
    <row r="903">
      <c r="A903" s="85"/>
      <c r="D903" s="2"/>
    </row>
    <row r="904">
      <c r="A904" s="85"/>
      <c r="D904" s="2"/>
    </row>
    <row r="905">
      <c r="A905" s="85"/>
      <c r="D905" s="2"/>
    </row>
    <row r="906">
      <c r="A906" s="85"/>
      <c r="D906" s="2"/>
    </row>
    <row r="907">
      <c r="A907" s="85"/>
      <c r="D907" s="2"/>
    </row>
    <row r="908">
      <c r="A908" s="85"/>
      <c r="D908" s="2"/>
    </row>
    <row r="909">
      <c r="A909" s="85"/>
      <c r="D909" s="2"/>
    </row>
    <row r="910">
      <c r="A910" s="85"/>
      <c r="D910" s="2"/>
    </row>
    <row r="911">
      <c r="A911" s="85"/>
      <c r="D911" s="2"/>
    </row>
    <row r="912">
      <c r="A912" s="85"/>
      <c r="D912" s="2"/>
    </row>
    <row r="913">
      <c r="A913" s="85"/>
      <c r="D913" s="2"/>
    </row>
    <row r="914">
      <c r="A914" s="85"/>
      <c r="D914" s="2"/>
    </row>
    <row r="915">
      <c r="A915" s="85"/>
      <c r="D915" s="2"/>
    </row>
    <row r="916">
      <c r="A916" s="85"/>
      <c r="D916" s="2"/>
    </row>
    <row r="917">
      <c r="A917" s="85"/>
      <c r="D917" s="2"/>
    </row>
    <row r="918">
      <c r="A918" s="85"/>
      <c r="D918" s="2"/>
    </row>
    <row r="919">
      <c r="A919" s="85"/>
      <c r="D919" s="2"/>
    </row>
    <row r="920">
      <c r="A920" s="85"/>
      <c r="D920" s="2"/>
    </row>
    <row r="921">
      <c r="A921" s="85"/>
      <c r="D921" s="2"/>
    </row>
    <row r="922">
      <c r="A922" s="85"/>
      <c r="D922" s="2"/>
    </row>
    <row r="923">
      <c r="A923" s="85"/>
      <c r="D923" s="2"/>
    </row>
    <row r="924">
      <c r="A924" s="85"/>
      <c r="D924" s="2"/>
    </row>
    <row r="925">
      <c r="A925" s="85"/>
      <c r="D925" s="2"/>
    </row>
    <row r="926">
      <c r="A926" s="85"/>
      <c r="D926" s="2"/>
    </row>
    <row r="927">
      <c r="A927" s="85"/>
      <c r="D927" s="2"/>
    </row>
    <row r="928">
      <c r="A928" s="85"/>
      <c r="D928" s="2"/>
    </row>
    <row r="929">
      <c r="A929" s="85"/>
      <c r="D929" s="2"/>
    </row>
    <row r="930">
      <c r="A930" s="85"/>
      <c r="D930" s="2"/>
    </row>
    <row r="931">
      <c r="A931" s="85"/>
      <c r="D931" s="2"/>
    </row>
    <row r="932">
      <c r="A932" s="85"/>
      <c r="D932" s="2"/>
    </row>
    <row r="933">
      <c r="A933" s="85"/>
      <c r="D933" s="2"/>
    </row>
    <row r="934">
      <c r="A934" s="85"/>
      <c r="D934" s="2"/>
    </row>
    <row r="935">
      <c r="A935" s="85"/>
      <c r="D935" s="2"/>
    </row>
    <row r="936">
      <c r="A936" s="85"/>
      <c r="D936" s="2"/>
    </row>
    <row r="937">
      <c r="A937" s="85"/>
      <c r="D937" s="2"/>
    </row>
    <row r="938">
      <c r="A938" s="85"/>
      <c r="D938" s="2"/>
    </row>
    <row r="939">
      <c r="A939" s="85"/>
      <c r="D939" s="2"/>
    </row>
    <row r="940">
      <c r="A940" s="85"/>
      <c r="D940" s="2"/>
    </row>
    <row r="941">
      <c r="A941" s="85"/>
      <c r="D941" s="2"/>
    </row>
    <row r="942">
      <c r="A942" s="85"/>
      <c r="D942" s="2"/>
    </row>
    <row r="943">
      <c r="A943" s="85"/>
      <c r="D943" s="2"/>
    </row>
    <row r="944">
      <c r="A944" s="85"/>
      <c r="D944" s="2"/>
    </row>
    <row r="945">
      <c r="A945" s="85"/>
      <c r="D945" s="2"/>
    </row>
    <row r="946">
      <c r="A946" s="85"/>
      <c r="D946" s="2"/>
    </row>
    <row r="947">
      <c r="A947" s="85"/>
      <c r="D947" s="2"/>
    </row>
    <row r="948">
      <c r="A948" s="85"/>
      <c r="D948" s="2"/>
    </row>
    <row r="949">
      <c r="A949" s="85"/>
      <c r="D949" s="2"/>
    </row>
    <row r="950">
      <c r="A950" s="85"/>
      <c r="D950" s="2"/>
    </row>
    <row r="951">
      <c r="A951" s="85"/>
      <c r="D951" s="2"/>
    </row>
    <row r="952">
      <c r="A952" s="85"/>
      <c r="D952" s="2"/>
    </row>
    <row r="953">
      <c r="A953" s="85"/>
      <c r="D953" s="2"/>
    </row>
    <row r="954">
      <c r="A954" s="85"/>
      <c r="D954" s="2"/>
    </row>
    <row r="955">
      <c r="A955" s="85"/>
      <c r="D955" s="2"/>
    </row>
    <row r="956">
      <c r="A956" s="85"/>
      <c r="D956" s="2"/>
    </row>
    <row r="957">
      <c r="A957" s="85"/>
      <c r="D957" s="2"/>
    </row>
    <row r="958">
      <c r="A958" s="85"/>
      <c r="D958" s="2"/>
    </row>
    <row r="959">
      <c r="A959" s="85"/>
      <c r="D959" s="2"/>
    </row>
    <row r="960">
      <c r="A960" s="85"/>
      <c r="D960" s="2"/>
    </row>
    <row r="961">
      <c r="A961" s="85"/>
      <c r="D961" s="2"/>
    </row>
    <row r="962">
      <c r="A962" s="85"/>
      <c r="D962" s="2"/>
    </row>
    <row r="963">
      <c r="A963" s="85"/>
      <c r="D963" s="2"/>
    </row>
    <row r="964">
      <c r="A964" s="85"/>
      <c r="D964" s="2"/>
    </row>
    <row r="965">
      <c r="A965" s="85"/>
      <c r="D965" s="2"/>
    </row>
    <row r="966">
      <c r="A966" s="85"/>
      <c r="D966" s="2"/>
    </row>
    <row r="967">
      <c r="A967" s="85"/>
      <c r="D967" s="2"/>
    </row>
    <row r="968">
      <c r="A968" s="85"/>
      <c r="D968" s="2"/>
    </row>
    <row r="969">
      <c r="A969" s="85"/>
      <c r="D969" s="2"/>
    </row>
    <row r="970">
      <c r="A970" s="85"/>
      <c r="D970" s="2"/>
    </row>
    <row r="971">
      <c r="A971" s="85"/>
      <c r="D971" s="2"/>
    </row>
    <row r="972">
      <c r="A972" s="85"/>
      <c r="D972" s="2"/>
    </row>
    <row r="973">
      <c r="A973" s="85"/>
      <c r="D973" s="2"/>
    </row>
    <row r="974">
      <c r="A974" s="85"/>
      <c r="D974" s="2"/>
    </row>
    <row r="975">
      <c r="A975" s="85"/>
      <c r="D975" s="2"/>
    </row>
    <row r="976">
      <c r="A976" s="85"/>
      <c r="D976" s="2"/>
    </row>
    <row r="977">
      <c r="A977" s="85"/>
      <c r="D977" s="2"/>
    </row>
    <row r="978">
      <c r="A978" s="85"/>
      <c r="D978" s="2"/>
    </row>
    <row r="979">
      <c r="A979" s="85"/>
      <c r="D979" s="2"/>
    </row>
    <row r="980">
      <c r="A980" s="85"/>
      <c r="D980" s="2"/>
    </row>
    <row r="981">
      <c r="A981" s="85"/>
      <c r="D981" s="2"/>
    </row>
    <row r="982">
      <c r="A982" s="85"/>
      <c r="D982" s="2"/>
    </row>
    <row r="983">
      <c r="A983" s="85"/>
      <c r="D983" s="2"/>
    </row>
    <row r="984">
      <c r="A984" s="85"/>
      <c r="D984" s="2"/>
    </row>
    <row r="985">
      <c r="A985" s="85"/>
      <c r="D985" s="2"/>
    </row>
    <row r="986">
      <c r="A986" s="85"/>
      <c r="D986" s="2"/>
    </row>
    <row r="987">
      <c r="A987" s="85"/>
      <c r="D987" s="2"/>
    </row>
    <row r="988">
      <c r="A988" s="85"/>
      <c r="D988" s="2"/>
    </row>
    <row r="989">
      <c r="A989" s="85"/>
      <c r="D989" s="2"/>
    </row>
    <row r="990">
      <c r="A990" s="85"/>
      <c r="D990" s="2"/>
    </row>
    <row r="991">
      <c r="A991" s="85"/>
      <c r="D991" s="2"/>
    </row>
    <row r="992">
      <c r="A992" s="85"/>
      <c r="D992" s="2"/>
    </row>
    <row r="993">
      <c r="A993" s="85"/>
      <c r="D993" s="2"/>
    </row>
    <row r="994">
      <c r="A994" s="85"/>
      <c r="D994" s="2"/>
    </row>
    <row r="995">
      <c r="A995" s="85"/>
      <c r="D995" s="2"/>
    </row>
    <row r="996">
      <c r="A996" s="85"/>
      <c r="D996" s="2"/>
    </row>
    <row r="997">
      <c r="A997" s="85"/>
      <c r="D997" s="2"/>
    </row>
    <row r="998">
      <c r="A998" s="85"/>
      <c r="D998" s="2"/>
    </row>
    <row r="999">
      <c r="A999" s="85"/>
      <c r="D999" s="2"/>
    </row>
    <row r="1000">
      <c r="A1000" s="85"/>
      <c r="D1000" s="2"/>
    </row>
    <row r="1001">
      <c r="A1001" s="85"/>
      <c r="D1001" s="2"/>
    </row>
    <row r="1002">
      <c r="A1002" s="85"/>
      <c r="D1002" s="2"/>
    </row>
    <row r="1003">
      <c r="A1003" s="85"/>
      <c r="D1003" s="2"/>
    </row>
    <row r="1004">
      <c r="A1004" s="85"/>
      <c r="D1004" s="2"/>
    </row>
    <row r="1005">
      <c r="A1005" s="85"/>
      <c r="D1005" s="2"/>
    </row>
    <row r="1006">
      <c r="A1006" s="85"/>
      <c r="D1006" s="2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87" t="s">
        <v>2</v>
      </c>
      <c r="B1" s="6" t="s">
        <v>4</v>
      </c>
      <c r="C1" s="3" t="s">
        <v>5</v>
      </c>
    </row>
    <row r="2">
      <c r="A2" s="87">
        <v>45674.0</v>
      </c>
      <c r="B2" s="6" t="s">
        <v>587</v>
      </c>
      <c r="C2" s="3">
        <v>1695.54</v>
      </c>
      <c r="E2" s="8" t="s">
        <v>40</v>
      </c>
      <c r="F2" s="2">
        <f>sum(C2:C9998)</f>
        <v>152379.49</v>
      </c>
    </row>
    <row r="3">
      <c r="A3" s="87">
        <v>45695.0</v>
      </c>
      <c r="B3" s="6" t="s">
        <v>588</v>
      </c>
      <c r="C3" s="3">
        <v>1784.55</v>
      </c>
    </row>
    <row r="4">
      <c r="A4" s="87">
        <v>45729.0</v>
      </c>
      <c r="B4" s="6" t="s">
        <v>588</v>
      </c>
      <c r="C4" s="3">
        <v>2595.81</v>
      </c>
      <c r="D4" s="6" t="s">
        <v>106</v>
      </c>
    </row>
    <row r="5">
      <c r="A5" s="87">
        <v>45754.0</v>
      </c>
      <c r="B5" s="6" t="s">
        <v>588</v>
      </c>
      <c r="C5" s="3">
        <v>3201.75</v>
      </c>
      <c r="D5" s="6" t="s">
        <v>106</v>
      </c>
    </row>
    <row r="6">
      <c r="A6" s="87">
        <v>45782.0</v>
      </c>
      <c r="B6" s="6" t="s">
        <v>588</v>
      </c>
      <c r="C6" s="3">
        <v>3757.61</v>
      </c>
      <c r="D6" s="6" t="s">
        <v>106</v>
      </c>
    </row>
    <row r="7">
      <c r="A7" s="87">
        <v>45813.0</v>
      </c>
      <c r="B7" s="6" t="s">
        <v>588</v>
      </c>
      <c r="C7" s="3">
        <v>4558.39</v>
      </c>
      <c r="D7" s="6" t="s">
        <v>106</v>
      </c>
    </row>
    <row r="8">
      <c r="A8" s="87">
        <v>45846.0</v>
      </c>
      <c r="B8" s="6" t="s">
        <v>588</v>
      </c>
      <c r="C8" s="3">
        <v>5557.49</v>
      </c>
      <c r="D8" s="6" t="s">
        <v>106</v>
      </c>
    </row>
    <row r="9">
      <c r="A9" s="87">
        <v>45874.0</v>
      </c>
      <c r="B9" s="6" t="s">
        <v>588</v>
      </c>
      <c r="C9" s="3">
        <v>5775.37</v>
      </c>
      <c r="D9" s="6" t="s">
        <v>106</v>
      </c>
    </row>
    <row r="10">
      <c r="A10" s="87">
        <v>45905.0</v>
      </c>
      <c r="B10" s="6" t="s">
        <v>588</v>
      </c>
      <c r="C10" s="3">
        <v>5966.01</v>
      </c>
      <c r="D10" s="6" t="s">
        <v>106</v>
      </c>
    </row>
    <row r="11">
      <c r="A11" s="87">
        <v>45936.0</v>
      </c>
      <c r="B11" s="6" t="s">
        <v>588</v>
      </c>
      <c r="C11" s="3">
        <v>6358.61</v>
      </c>
      <c r="D11" s="6" t="s">
        <v>106</v>
      </c>
    </row>
    <row r="12">
      <c r="A12" s="87">
        <v>45966.0</v>
      </c>
      <c r="B12" s="6" t="s">
        <v>588</v>
      </c>
      <c r="C12" s="3">
        <v>6802.9</v>
      </c>
      <c r="D12" s="6" t="s">
        <v>106</v>
      </c>
    </row>
    <row r="13">
      <c r="A13" s="87">
        <v>45996.0</v>
      </c>
      <c r="B13" s="6" t="s">
        <v>588</v>
      </c>
      <c r="C13" s="3">
        <v>7275.01</v>
      </c>
      <c r="D13" s="6" t="s">
        <v>106</v>
      </c>
    </row>
    <row r="14">
      <c r="A14" s="87">
        <v>46027.0</v>
      </c>
      <c r="B14" s="6" t="s">
        <v>588</v>
      </c>
      <c r="C14" s="3">
        <v>7983.13</v>
      </c>
    </row>
    <row r="15">
      <c r="A15" s="87">
        <v>46076.0</v>
      </c>
      <c r="B15" s="6" t="s">
        <v>588</v>
      </c>
      <c r="C15" s="3">
        <v>10066.08</v>
      </c>
    </row>
    <row r="16">
      <c r="A16" s="87">
        <v>46097.0</v>
      </c>
      <c r="B16" s="6" t="s">
        <v>588</v>
      </c>
      <c r="C16" s="3">
        <v>11763.27</v>
      </c>
    </row>
    <row r="17">
      <c r="A17" s="87">
        <v>46118.0</v>
      </c>
      <c r="B17" s="6" t="s">
        <v>588</v>
      </c>
      <c r="C17" s="3">
        <v>10474.89</v>
      </c>
    </row>
    <row r="18">
      <c r="A18" s="87">
        <v>46147.0</v>
      </c>
      <c r="B18" s="6" t="s">
        <v>588</v>
      </c>
      <c r="C18" s="3">
        <v>10528.6</v>
      </c>
    </row>
    <row r="19">
      <c r="A19" s="87">
        <v>46155.0</v>
      </c>
      <c r="B19" s="6" t="s">
        <v>588</v>
      </c>
      <c r="C19" s="3">
        <v>3092.27</v>
      </c>
    </row>
    <row r="20">
      <c r="A20" s="87">
        <v>46185.0</v>
      </c>
      <c r="B20" s="6" t="s">
        <v>589</v>
      </c>
      <c r="C20" s="3">
        <v>22083.24</v>
      </c>
    </row>
    <row r="21">
      <c r="A21" s="87">
        <v>46209.0</v>
      </c>
      <c r="B21" s="6" t="s">
        <v>590</v>
      </c>
      <c r="C21" s="3">
        <v>10532.73</v>
      </c>
    </row>
    <row r="22">
      <c r="A22" s="87">
        <v>46239.0</v>
      </c>
      <c r="B22" s="6" t="s">
        <v>590</v>
      </c>
      <c r="C22" s="3">
        <v>10526.24</v>
      </c>
    </row>
    <row r="23">
      <c r="A23" s="86"/>
      <c r="C23" s="2"/>
    </row>
    <row r="24">
      <c r="A24" s="86"/>
      <c r="C24" s="2"/>
    </row>
    <row r="25">
      <c r="A25" s="86"/>
      <c r="C25" s="2"/>
    </row>
    <row r="26">
      <c r="A26" s="86"/>
      <c r="C26" s="2"/>
    </row>
    <row r="27">
      <c r="A27" s="86"/>
      <c r="C27" s="2"/>
    </row>
    <row r="28">
      <c r="A28" s="86"/>
      <c r="C28" s="2"/>
    </row>
    <row r="29">
      <c r="A29" s="86"/>
      <c r="C29" s="2"/>
    </row>
    <row r="30">
      <c r="A30" s="86"/>
      <c r="C30" s="2"/>
    </row>
    <row r="31">
      <c r="A31" s="86"/>
      <c r="C31" s="2"/>
    </row>
    <row r="32">
      <c r="A32" s="86"/>
      <c r="C32" s="2"/>
    </row>
    <row r="33">
      <c r="A33" s="86"/>
      <c r="C33" s="2"/>
    </row>
    <row r="34">
      <c r="A34" s="86"/>
      <c r="C34" s="2"/>
    </row>
    <row r="35">
      <c r="A35" s="86"/>
      <c r="C35" s="2"/>
    </row>
    <row r="36">
      <c r="A36" s="86"/>
      <c r="C36" s="2"/>
    </row>
    <row r="37">
      <c r="A37" s="86"/>
      <c r="C37" s="2"/>
    </row>
    <row r="38">
      <c r="A38" s="86"/>
      <c r="C38" s="2"/>
    </row>
    <row r="39">
      <c r="A39" s="86"/>
      <c r="C39" s="2"/>
    </row>
    <row r="40">
      <c r="A40" s="86"/>
      <c r="C40" s="2"/>
    </row>
    <row r="41">
      <c r="A41" s="86"/>
      <c r="C41" s="2"/>
    </row>
    <row r="42">
      <c r="A42" s="86"/>
      <c r="C42" s="2"/>
    </row>
    <row r="43">
      <c r="A43" s="86"/>
      <c r="C43" s="2"/>
    </row>
    <row r="44">
      <c r="A44" s="86"/>
      <c r="C44" s="2"/>
    </row>
    <row r="45">
      <c r="A45" s="86"/>
      <c r="C45" s="2"/>
    </row>
    <row r="46">
      <c r="A46" s="86"/>
      <c r="C46" s="2"/>
    </row>
    <row r="47">
      <c r="A47" s="86"/>
      <c r="C47" s="2"/>
    </row>
    <row r="48">
      <c r="A48" s="86"/>
      <c r="C48" s="2"/>
    </row>
    <row r="49">
      <c r="A49" s="86"/>
      <c r="C49" s="2"/>
    </row>
    <row r="50">
      <c r="A50" s="86"/>
      <c r="C50" s="2"/>
    </row>
    <row r="51">
      <c r="A51" s="86"/>
      <c r="C51" s="2"/>
    </row>
    <row r="52">
      <c r="A52" s="86"/>
      <c r="C52" s="2"/>
    </row>
    <row r="53">
      <c r="A53" s="86"/>
      <c r="C53" s="2"/>
    </row>
    <row r="54">
      <c r="A54" s="86"/>
      <c r="C54" s="2"/>
    </row>
    <row r="55">
      <c r="A55" s="86"/>
      <c r="C55" s="2"/>
    </row>
    <row r="56">
      <c r="A56" s="86"/>
      <c r="C56" s="2"/>
    </row>
    <row r="57">
      <c r="A57" s="86"/>
      <c r="C57" s="2"/>
    </row>
    <row r="58">
      <c r="A58" s="86"/>
      <c r="C58" s="2"/>
    </row>
    <row r="59">
      <c r="A59" s="86"/>
      <c r="C59" s="2"/>
    </row>
    <row r="60">
      <c r="A60" s="86"/>
      <c r="C60" s="2"/>
    </row>
    <row r="61">
      <c r="A61" s="86"/>
      <c r="C61" s="2"/>
    </row>
    <row r="62">
      <c r="A62" s="86"/>
      <c r="C62" s="2"/>
    </row>
    <row r="63">
      <c r="A63" s="86"/>
      <c r="C63" s="2"/>
    </row>
    <row r="64">
      <c r="A64" s="86"/>
      <c r="C64" s="2"/>
    </row>
    <row r="65">
      <c r="A65" s="86"/>
      <c r="C65" s="2"/>
    </row>
    <row r="66">
      <c r="A66" s="86"/>
      <c r="C66" s="2"/>
    </row>
    <row r="67">
      <c r="A67" s="86"/>
      <c r="C67" s="2"/>
    </row>
    <row r="68">
      <c r="A68" s="86"/>
      <c r="C68" s="2"/>
    </row>
    <row r="69">
      <c r="A69" s="86"/>
      <c r="C69" s="2"/>
    </row>
    <row r="70">
      <c r="A70" s="86"/>
      <c r="C70" s="2"/>
    </row>
    <row r="71">
      <c r="A71" s="86"/>
      <c r="C71" s="2"/>
    </row>
    <row r="72">
      <c r="A72" s="86"/>
      <c r="C72" s="2"/>
    </row>
    <row r="73">
      <c r="A73" s="86"/>
      <c r="C73" s="2"/>
    </row>
    <row r="74">
      <c r="A74" s="86"/>
      <c r="C74" s="2"/>
    </row>
    <row r="75">
      <c r="A75" s="86"/>
      <c r="C75" s="2"/>
    </row>
    <row r="76">
      <c r="A76" s="86"/>
      <c r="C76" s="2"/>
    </row>
    <row r="77">
      <c r="A77" s="86"/>
      <c r="C77" s="2"/>
    </row>
    <row r="78">
      <c r="A78" s="86"/>
      <c r="C78" s="2"/>
    </row>
    <row r="79">
      <c r="A79" s="86"/>
      <c r="C79" s="2"/>
    </row>
    <row r="80">
      <c r="A80" s="86"/>
      <c r="C80" s="2"/>
    </row>
    <row r="81">
      <c r="A81" s="86"/>
      <c r="C81" s="2"/>
    </row>
    <row r="82">
      <c r="A82" s="86"/>
      <c r="C82" s="2"/>
    </row>
    <row r="83">
      <c r="A83" s="86"/>
      <c r="C83" s="2"/>
    </row>
    <row r="84">
      <c r="A84" s="86"/>
      <c r="C84" s="2"/>
    </row>
    <row r="85">
      <c r="A85" s="86"/>
      <c r="C85" s="2"/>
    </row>
    <row r="86">
      <c r="A86" s="86"/>
      <c r="C86" s="2"/>
    </row>
    <row r="87">
      <c r="A87" s="86"/>
      <c r="C87" s="2"/>
    </row>
    <row r="88">
      <c r="A88" s="86"/>
      <c r="C88" s="2"/>
    </row>
    <row r="89">
      <c r="A89" s="86"/>
      <c r="C89" s="2"/>
    </row>
    <row r="90">
      <c r="A90" s="86"/>
      <c r="C90" s="2"/>
    </row>
    <row r="91">
      <c r="A91" s="86"/>
      <c r="C91" s="2"/>
    </row>
    <row r="92">
      <c r="A92" s="86"/>
      <c r="C92" s="2"/>
    </row>
    <row r="93">
      <c r="A93" s="86"/>
      <c r="C93" s="2"/>
    </row>
    <row r="94">
      <c r="A94" s="86"/>
      <c r="C94" s="2"/>
    </row>
    <row r="95">
      <c r="A95" s="86"/>
      <c r="C95" s="2"/>
    </row>
    <row r="96">
      <c r="A96" s="86"/>
      <c r="C96" s="2"/>
    </row>
    <row r="97">
      <c r="A97" s="86"/>
      <c r="C97" s="2"/>
    </row>
    <row r="98">
      <c r="A98" s="86"/>
      <c r="C98" s="2"/>
    </row>
    <row r="99">
      <c r="A99" s="86"/>
      <c r="C99" s="2"/>
    </row>
    <row r="100">
      <c r="A100" s="86"/>
      <c r="C100" s="2"/>
    </row>
    <row r="101">
      <c r="A101" s="86"/>
      <c r="C101" s="2"/>
    </row>
    <row r="102">
      <c r="A102" s="86"/>
      <c r="C102" s="2"/>
    </row>
    <row r="103">
      <c r="A103" s="86"/>
      <c r="C103" s="2"/>
    </row>
    <row r="104">
      <c r="A104" s="86"/>
      <c r="C104" s="2"/>
    </row>
    <row r="105">
      <c r="A105" s="86"/>
      <c r="C105" s="2"/>
    </row>
    <row r="106">
      <c r="A106" s="86"/>
      <c r="C106" s="2"/>
    </row>
    <row r="107">
      <c r="A107" s="86"/>
      <c r="C107" s="2"/>
    </row>
    <row r="108">
      <c r="A108" s="86"/>
      <c r="C108" s="2"/>
    </row>
    <row r="109">
      <c r="A109" s="86"/>
      <c r="C109" s="2"/>
    </row>
    <row r="110">
      <c r="A110" s="86"/>
      <c r="C110" s="2"/>
    </row>
    <row r="111">
      <c r="A111" s="86"/>
      <c r="C111" s="2"/>
    </row>
    <row r="112">
      <c r="A112" s="86"/>
      <c r="C112" s="2"/>
    </row>
    <row r="113">
      <c r="A113" s="86"/>
      <c r="C113" s="2"/>
    </row>
    <row r="114">
      <c r="A114" s="86"/>
      <c r="C114" s="2"/>
    </row>
    <row r="115">
      <c r="A115" s="86"/>
      <c r="C115" s="2"/>
    </row>
    <row r="116">
      <c r="A116" s="86"/>
      <c r="C116" s="2"/>
    </row>
    <row r="117">
      <c r="A117" s="86"/>
      <c r="C117" s="2"/>
    </row>
    <row r="118">
      <c r="A118" s="86"/>
      <c r="C118" s="2"/>
    </row>
    <row r="119">
      <c r="A119" s="86"/>
      <c r="C119" s="2"/>
    </row>
    <row r="120">
      <c r="A120" s="86"/>
      <c r="C120" s="2"/>
    </row>
    <row r="121">
      <c r="A121" s="86"/>
      <c r="C121" s="2"/>
    </row>
    <row r="122">
      <c r="A122" s="86"/>
      <c r="C122" s="2"/>
    </row>
    <row r="123">
      <c r="A123" s="86"/>
      <c r="C123" s="2"/>
    </row>
    <row r="124">
      <c r="A124" s="86"/>
      <c r="C124" s="2"/>
    </row>
    <row r="125">
      <c r="A125" s="86"/>
      <c r="C125" s="2"/>
    </row>
    <row r="126">
      <c r="A126" s="86"/>
      <c r="C126" s="2"/>
    </row>
    <row r="127">
      <c r="A127" s="86"/>
      <c r="C127" s="2"/>
    </row>
    <row r="128">
      <c r="A128" s="86"/>
      <c r="C128" s="2"/>
    </row>
    <row r="129">
      <c r="A129" s="86"/>
      <c r="C129" s="2"/>
    </row>
    <row r="130">
      <c r="A130" s="86"/>
      <c r="C130" s="2"/>
    </row>
    <row r="131">
      <c r="A131" s="86"/>
      <c r="C131" s="2"/>
    </row>
    <row r="132">
      <c r="A132" s="86"/>
      <c r="C132" s="2"/>
    </row>
    <row r="133">
      <c r="A133" s="86"/>
      <c r="C133" s="2"/>
    </row>
    <row r="134">
      <c r="A134" s="86"/>
      <c r="C134" s="2"/>
    </row>
    <row r="135">
      <c r="A135" s="86"/>
      <c r="C135" s="2"/>
    </row>
    <row r="136">
      <c r="A136" s="86"/>
      <c r="C136" s="2"/>
    </row>
    <row r="137">
      <c r="A137" s="86"/>
      <c r="C137" s="2"/>
    </row>
    <row r="138">
      <c r="A138" s="86"/>
      <c r="C138" s="2"/>
    </row>
    <row r="139">
      <c r="A139" s="86"/>
      <c r="C139" s="2"/>
    </row>
    <row r="140">
      <c r="A140" s="86"/>
      <c r="C140" s="2"/>
    </row>
    <row r="141">
      <c r="A141" s="86"/>
      <c r="C141" s="2"/>
    </row>
    <row r="142">
      <c r="A142" s="86"/>
      <c r="C142" s="2"/>
    </row>
    <row r="143">
      <c r="A143" s="86"/>
      <c r="C143" s="2"/>
    </row>
    <row r="144">
      <c r="A144" s="86"/>
      <c r="C144" s="2"/>
    </row>
    <row r="145">
      <c r="A145" s="86"/>
      <c r="C145" s="2"/>
    </row>
    <row r="146">
      <c r="A146" s="86"/>
      <c r="C146" s="2"/>
    </row>
    <row r="147">
      <c r="A147" s="86"/>
      <c r="C147" s="2"/>
    </row>
    <row r="148">
      <c r="A148" s="86"/>
      <c r="C148" s="2"/>
    </row>
    <row r="149">
      <c r="A149" s="86"/>
      <c r="C149" s="2"/>
    </row>
    <row r="150">
      <c r="A150" s="86"/>
      <c r="C150" s="2"/>
    </row>
    <row r="151">
      <c r="A151" s="86"/>
      <c r="C151" s="2"/>
    </row>
    <row r="152">
      <c r="A152" s="86"/>
      <c r="C152" s="2"/>
    </row>
    <row r="153">
      <c r="A153" s="86"/>
      <c r="C153" s="2"/>
    </row>
    <row r="154">
      <c r="A154" s="86"/>
      <c r="C154" s="2"/>
    </row>
    <row r="155">
      <c r="A155" s="86"/>
      <c r="C155" s="2"/>
    </row>
    <row r="156">
      <c r="A156" s="86"/>
      <c r="C156" s="2"/>
    </row>
    <row r="157">
      <c r="A157" s="86"/>
      <c r="C157" s="2"/>
    </row>
    <row r="158">
      <c r="A158" s="86"/>
      <c r="C158" s="2"/>
    </row>
    <row r="159">
      <c r="A159" s="86"/>
      <c r="C159" s="2"/>
    </row>
    <row r="160">
      <c r="A160" s="86"/>
      <c r="C160" s="2"/>
    </row>
    <row r="161">
      <c r="A161" s="86"/>
      <c r="C161" s="2"/>
    </row>
    <row r="162">
      <c r="A162" s="86"/>
      <c r="C162" s="2"/>
    </row>
    <row r="163">
      <c r="A163" s="86"/>
      <c r="C163" s="2"/>
    </row>
    <row r="164">
      <c r="A164" s="86"/>
      <c r="C164" s="2"/>
    </row>
    <row r="165">
      <c r="A165" s="86"/>
      <c r="C165" s="2"/>
    </row>
    <row r="166">
      <c r="A166" s="86"/>
      <c r="C166" s="2"/>
    </row>
    <row r="167">
      <c r="A167" s="86"/>
      <c r="C167" s="2"/>
    </row>
    <row r="168">
      <c r="A168" s="86"/>
      <c r="C168" s="2"/>
    </row>
    <row r="169">
      <c r="A169" s="86"/>
      <c r="C169" s="2"/>
    </row>
    <row r="170">
      <c r="A170" s="86"/>
      <c r="C170" s="2"/>
    </row>
    <row r="171">
      <c r="A171" s="86"/>
      <c r="C171" s="2"/>
    </row>
    <row r="172">
      <c r="A172" s="86"/>
      <c r="C172" s="2"/>
    </row>
    <row r="173">
      <c r="A173" s="86"/>
      <c r="C173" s="2"/>
    </row>
    <row r="174">
      <c r="A174" s="86"/>
      <c r="C174" s="2"/>
    </row>
    <row r="175">
      <c r="A175" s="86"/>
      <c r="C175" s="2"/>
    </row>
    <row r="176">
      <c r="A176" s="86"/>
      <c r="C176" s="2"/>
    </row>
    <row r="177">
      <c r="A177" s="86"/>
      <c r="C177" s="2"/>
    </row>
    <row r="178">
      <c r="A178" s="86"/>
      <c r="C178" s="2"/>
    </row>
    <row r="179">
      <c r="A179" s="86"/>
      <c r="C179" s="2"/>
    </row>
    <row r="180">
      <c r="A180" s="86"/>
      <c r="C180" s="2"/>
    </row>
    <row r="181">
      <c r="A181" s="86"/>
      <c r="C181" s="2"/>
    </row>
    <row r="182">
      <c r="A182" s="86"/>
      <c r="C182" s="2"/>
    </row>
    <row r="183">
      <c r="A183" s="86"/>
      <c r="C183" s="2"/>
    </row>
    <row r="184">
      <c r="A184" s="86"/>
      <c r="C184" s="2"/>
    </row>
    <row r="185">
      <c r="A185" s="86"/>
      <c r="C185" s="2"/>
    </row>
    <row r="186">
      <c r="A186" s="86"/>
      <c r="C186" s="2"/>
    </row>
    <row r="187">
      <c r="A187" s="86"/>
      <c r="C187" s="2"/>
    </row>
    <row r="188">
      <c r="A188" s="86"/>
      <c r="C188" s="2"/>
    </row>
    <row r="189">
      <c r="A189" s="86"/>
      <c r="C189" s="2"/>
    </row>
    <row r="190">
      <c r="A190" s="86"/>
      <c r="C190" s="2"/>
    </row>
    <row r="191">
      <c r="A191" s="86"/>
      <c r="C191" s="2"/>
    </row>
    <row r="192">
      <c r="A192" s="86"/>
      <c r="C192" s="2"/>
    </row>
    <row r="193">
      <c r="A193" s="86"/>
      <c r="C193" s="2"/>
    </row>
    <row r="194">
      <c r="A194" s="86"/>
      <c r="C194" s="2"/>
    </row>
    <row r="195">
      <c r="A195" s="86"/>
      <c r="C195" s="2"/>
    </row>
    <row r="196">
      <c r="A196" s="86"/>
      <c r="C196" s="2"/>
    </row>
    <row r="197">
      <c r="A197" s="86"/>
      <c r="C197" s="2"/>
    </row>
    <row r="198">
      <c r="A198" s="86"/>
      <c r="C198" s="2"/>
    </row>
    <row r="199">
      <c r="A199" s="86"/>
      <c r="C199" s="2"/>
    </row>
    <row r="200">
      <c r="A200" s="86"/>
      <c r="C200" s="2"/>
    </row>
    <row r="201">
      <c r="A201" s="86"/>
      <c r="C201" s="2"/>
    </row>
    <row r="202">
      <c r="A202" s="86"/>
      <c r="C202" s="2"/>
    </row>
    <row r="203">
      <c r="A203" s="86"/>
      <c r="C203" s="2"/>
    </row>
    <row r="204">
      <c r="A204" s="86"/>
      <c r="C204" s="2"/>
    </row>
    <row r="205">
      <c r="A205" s="86"/>
      <c r="C205" s="2"/>
    </row>
    <row r="206">
      <c r="A206" s="86"/>
      <c r="C206" s="2"/>
    </row>
    <row r="207">
      <c r="A207" s="86"/>
      <c r="C207" s="2"/>
    </row>
    <row r="208">
      <c r="A208" s="86"/>
      <c r="C208" s="2"/>
    </row>
    <row r="209">
      <c r="A209" s="86"/>
      <c r="C209" s="2"/>
    </row>
    <row r="210">
      <c r="A210" s="86"/>
      <c r="C210" s="2"/>
    </row>
    <row r="211">
      <c r="A211" s="86"/>
      <c r="C211" s="2"/>
    </row>
    <row r="212">
      <c r="A212" s="86"/>
      <c r="C212" s="2"/>
    </row>
    <row r="213">
      <c r="A213" s="86"/>
      <c r="C213" s="2"/>
    </row>
    <row r="214">
      <c r="A214" s="86"/>
      <c r="C214" s="2"/>
    </row>
    <row r="215">
      <c r="A215" s="86"/>
      <c r="C215" s="2"/>
    </row>
    <row r="216">
      <c r="A216" s="86"/>
      <c r="C216" s="2"/>
    </row>
    <row r="217">
      <c r="A217" s="86"/>
      <c r="C217" s="2"/>
    </row>
    <row r="218">
      <c r="A218" s="86"/>
      <c r="C218" s="2"/>
    </row>
    <row r="219">
      <c r="A219" s="86"/>
      <c r="C219" s="2"/>
    </row>
    <row r="220">
      <c r="A220" s="86"/>
      <c r="C220" s="2"/>
    </row>
    <row r="221">
      <c r="A221" s="86"/>
      <c r="C221" s="2"/>
    </row>
    <row r="222">
      <c r="A222" s="86"/>
      <c r="C222" s="2"/>
    </row>
    <row r="223">
      <c r="A223" s="86"/>
      <c r="C223" s="2"/>
    </row>
    <row r="224">
      <c r="A224" s="86"/>
      <c r="C224" s="2"/>
    </row>
    <row r="225">
      <c r="A225" s="86"/>
      <c r="C225" s="2"/>
    </row>
    <row r="226">
      <c r="A226" s="86"/>
      <c r="C226" s="2"/>
    </row>
    <row r="227">
      <c r="A227" s="86"/>
      <c r="C227" s="2"/>
    </row>
    <row r="228">
      <c r="A228" s="86"/>
      <c r="C228" s="2"/>
    </row>
    <row r="229">
      <c r="A229" s="86"/>
      <c r="C229" s="2"/>
    </row>
    <row r="230">
      <c r="A230" s="86"/>
      <c r="C230" s="2"/>
    </row>
    <row r="231">
      <c r="A231" s="86"/>
      <c r="C231" s="2"/>
    </row>
    <row r="232">
      <c r="A232" s="86"/>
      <c r="C232" s="2"/>
    </row>
    <row r="233">
      <c r="A233" s="86"/>
      <c r="C233" s="2"/>
    </row>
    <row r="234">
      <c r="A234" s="86"/>
      <c r="C234" s="2"/>
    </row>
    <row r="235">
      <c r="A235" s="86"/>
      <c r="C235" s="2"/>
    </row>
    <row r="236">
      <c r="A236" s="86"/>
      <c r="C236" s="2"/>
    </row>
    <row r="237">
      <c r="A237" s="86"/>
      <c r="C237" s="2"/>
    </row>
    <row r="238">
      <c r="A238" s="86"/>
      <c r="C238" s="2"/>
    </row>
    <row r="239">
      <c r="A239" s="86"/>
      <c r="C239" s="2"/>
    </row>
    <row r="240">
      <c r="A240" s="86"/>
      <c r="C240" s="2"/>
    </row>
    <row r="241">
      <c r="A241" s="86"/>
      <c r="C241" s="2"/>
    </row>
    <row r="242">
      <c r="A242" s="86"/>
      <c r="C242" s="2"/>
    </row>
    <row r="243">
      <c r="A243" s="86"/>
      <c r="C243" s="2"/>
    </row>
    <row r="244">
      <c r="A244" s="86"/>
      <c r="C244" s="2"/>
    </row>
    <row r="245">
      <c r="A245" s="86"/>
      <c r="C245" s="2"/>
    </row>
    <row r="246">
      <c r="A246" s="86"/>
      <c r="C246" s="2"/>
    </row>
    <row r="247">
      <c r="A247" s="86"/>
      <c r="C247" s="2"/>
    </row>
    <row r="248">
      <c r="A248" s="86"/>
      <c r="C248" s="2"/>
    </row>
    <row r="249">
      <c r="A249" s="86"/>
      <c r="C249" s="2"/>
    </row>
    <row r="250">
      <c r="A250" s="86"/>
      <c r="C250" s="2"/>
    </row>
    <row r="251">
      <c r="A251" s="86"/>
      <c r="C251" s="2"/>
    </row>
    <row r="252">
      <c r="A252" s="86"/>
      <c r="C252" s="2"/>
    </row>
    <row r="253">
      <c r="A253" s="86"/>
      <c r="C253" s="2"/>
    </row>
    <row r="254">
      <c r="A254" s="86"/>
      <c r="C254" s="2"/>
    </row>
    <row r="255">
      <c r="A255" s="86"/>
      <c r="C255" s="2"/>
    </row>
    <row r="256">
      <c r="A256" s="86"/>
      <c r="C256" s="2"/>
    </row>
    <row r="257">
      <c r="A257" s="86"/>
      <c r="C257" s="2"/>
    </row>
    <row r="258">
      <c r="A258" s="86"/>
      <c r="C258" s="2"/>
    </row>
    <row r="259">
      <c r="A259" s="86"/>
      <c r="C259" s="2"/>
    </row>
    <row r="260">
      <c r="A260" s="86"/>
      <c r="C260" s="2"/>
    </row>
    <row r="261">
      <c r="A261" s="86"/>
      <c r="C261" s="2"/>
    </row>
    <row r="262">
      <c r="A262" s="86"/>
      <c r="C262" s="2"/>
    </row>
    <row r="263">
      <c r="A263" s="86"/>
      <c r="C263" s="2"/>
    </row>
    <row r="264">
      <c r="A264" s="86"/>
      <c r="C264" s="2"/>
    </row>
    <row r="265">
      <c r="A265" s="86"/>
      <c r="C265" s="2"/>
    </row>
    <row r="266">
      <c r="A266" s="86"/>
      <c r="C266" s="2"/>
    </row>
    <row r="267">
      <c r="A267" s="86"/>
      <c r="C267" s="2"/>
    </row>
    <row r="268">
      <c r="A268" s="86"/>
      <c r="C268" s="2"/>
    </row>
    <row r="269">
      <c r="A269" s="86"/>
      <c r="C269" s="2"/>
    </row>
    <row r="270">
      <c r="A270" s="86"/>
      <c r="C270" s="2"/>
    </row>
    <row r="271">
      <c r="A271" s="86"/>
      <c r="C271" s="2"/>
    </row>
    <row r="272">
      <c r="A272" s="86"/>
      <c r="C272" s="2"/>
    </row>
    <row r="273">
      <c r="A273" s="86"/>
      <c r="C273" s="2"/>
    </row>
    <row r="274">
      <c r="A274" s="86"/>
      <c r="C274" s="2"/>
    </row>
    <row r="275">
      <c r="A275" s="86"/>
      <c r="C275" s="2"/>
    </row>
    <row r="276">
      <c r="A276" s="86"/>
      <c r="C276" s="2"/>
    </row>
    <row r="277">
      <c r="A277" s="86"/>
      <c r="C277" s="2"/>
    </row>
    <row r="278">
      <c r="A278" s="86"/>
      <c r="C278" s="2"/>
    </row>
    <row r="279">
      <c r="A279" s="86"/>
      <c r="C279" s="2"/>
    </row>
    <row r="280">
      <c r="A280" s="86"/>
      <c r="C280" s="2"/>
    </row>
    <row r="281">
      <c r="A281" s="86"/>
      <c r="C281" s="2"/>
    </row>
    <row r="282">
      <c r="A282" s="86"/>
      <c r="C282" s="2"/>
    </row>
    <row r="283">
      <c r="A283" s="86"/>
      <c r="C283" s="2"/>
    </row>
    <row r="284">
      <c r="A284" s="86"/>
      <c r="C284" s="2"/>
    </row>
    <row r="285">
      <c r="A285" s="86"/>
      <c r="C285" s="2"/>
    </row>
    <row r="286">
      <c r="A286" s="86"/>
      <c r="C286" s="2"/>
    </row>
    <row r="287">
      <c r="A287" s="86"/>
      <c r="C287" s="2"/>
    </row>
    <row r="288">
      <c r="A288" s="86"/>
      <c r="C288" s="2"/>
    </row>
    <row r="289">
      <c r="A289" s="86"/>
      <c r="C289" s="2"/>
    </row>
    <row r="290">
      <c r="A290" s="86"/>
      <c r="C290" s="2"/>
    </row>
    <row r="291">
      <c r="A291" s="86"/>
      <c r="C291" s="2"/>
    </row>
    <row r="292">
      <c r="A292" s="86"/>
      <c r="C292" s="2"/>
    </row>
    <row r="293">
      <c r="A293" s="86"/>
      <c r="C293" s="2"/>
    </row>
    <row r="294">
      <c r="A294" s="86"/>
      <c r="C294" s="2"/>
    </row>
    <row r="295">
      <c r="A295" s="86"/>
      <c r="C295" s="2"/>
    </row>
    <row r="296">
      <c r="A296" s="86"/>
      <c r="C296" s="2"/>
    </row>
    <row r="297">
      <c r="A297" s="86"/>
      <c r="C297" s="2"/>
    </row>
    <row r="298">
      <c r="A298" s="86"/>
      <c r="C298" s="2"/>
    </row>
    <row r="299">
      <c r="A299" s="86"/>
      <c r="C299" s="2"/>
    </row>
    <row r="300">
      <c r="A300" s="86"/>
      <c r="C300" s="2"/>
    </row>
    <row r="301">
      <c r="A301" s="86"/>
      <c r="C301" s="2"/>
    </row>
    <row r="302">
      <c r="A302" s="86"/>
      <c r="C302" s="2"/>
    </row>
    <row r="303">
      <c r="A303" s="86"/>
      <c r="C303" s="2"/>
    </row>
    <row r="304">
      <c r="A304" s="86"/>
      <c r="C304" s="2"/>
    </row>
    <row r="305">
      <c r="A305" s="86"/>
      <c r="C305" s="2"/>
    </row>
    <row r="306">
      <c r="A306" s="86"/>
      <c r="C306" s="2"/>
    </row>
    <row r="307">
      <c r="A307" s="86"/>
      <c r="C307" s="2"/>
    </row>
    <row r="308">
      <c r="A308" s="86"/>
      <c r="C308" s="2"/>
    </row>
    <row r="309">
      <c r="A309" s="86"/>
      <c r="C309" s="2"/>
    </row>
    <row r="310">
      <c r="A310" s="86"/>
      <c r="C310" s="2"/>
    </row>
    <row r="311">
      <c r="A311" s="86"/>
      <c r="C311" s="2"/>
    </row>
    <row r="312">
      <c r="A312" s="86"/>
      <c r="C312" s="2"/>
    </row>
    <row r="313">
      <c r="A313" s="86"/>
      <c r="C313" s="2"/>
    </row>
    <row r="314">
      <c r="A314" s="86"/>
      <c r="C314" s="2"/>
    </row>
    <row r="315">
      <c r="A315" s="86"/>
      <c r="C315" s="2"/>
    </row>
    <row r="316">
      <c r="A316" s="86"/>
      <c r="C316" s="2"/>
    </row>
    <row r="317">
      <c r="A317" s="86"/>
      <c r="C317" s="2"/>
    </row>
    <row r="318">
      <c r="A318" s="86"/>
      <c r="C318" s="2"/>
    </row>
    <row r="319">
      <c r="A319" s="86"/>
      <c r="C319" s="2"/>
    </row>
    <row r="320">
      <c r="A320" s="86"/>
      <c r="C320" s="2"/>
    </row>
    <row r="321">
      <c r="A321" s="86"/>
      <c r="C321" s="2"/>
    </row>
    <row r="322">
      <c r="A322" s="86"/>
      <c r="C322" s="2"/>
    </row>
    <row r="323">
      <c r="A323" s="86"/>
      <c r="C323" s="2"/>
    </row>
    <row r="324">
      <c r="A324" s="86"/>
      <c r="C324" s="2"/>
    </row>
    <row r="325">
      <c r="A325" s="86"/>
      <c r="C325" s="2"/>
    </row>
    <row r="326">
      <c r="A326" s="86"/>
      <c r="C326" s="2"/>
    </row>
    <row r="327">
      <c r="A327" s="86"/>
      <c r="C327" s="2"/>
    </row>
    <row r="328">
      <c r="A328" s="86"/>
      <c r="C328" s="2"/>
    </row>
    <row r="329">
      <c r="A329" s="86"/>
      <c r="C329" s="2"/>
    </row>
    <row r="330">
      <c r="A330" s="86"/>
      <c r="C330" s="2"/>
    </row>
    <row r="331">
      <c r="A331" s="86"/>
      <c r="C331" s="2"/>
    </row>
    <row r="332">
      <c r="A332" s="86"/>
      <c r="C332" s="2"/>
    </row>
    <row r="333">
      <c r="A333" s="86"/>
      <c r="C333" s="2"/>
    </row>
    <row r="334">
      <c r="A334" s="86"/>
      <c r="C334" s="2"/>
    </row>
    <row r="335">
      <c r="A335" s="86"/>
      <c r="C335" s="2"/>
    </row>
    <row r="336">
      <c r="A336" s="86"/>
      <c r="C336" s="2"/>
    </row>
    <row r="337">
      <c r="A337" s="86"/>
      <c r="C337" s="2"/>
    </row>
    <row r="338">
      <c r="A338" s="86"/>
      <c r="C338" s="2"/>
    </row>
    <row r="339">
      <c r="A339" s="86"/>
      <c r="C339" s="2"/>
    </row>
    <row r="340">
      <c r="A340" s="86"/>
      <c r="C340" s="2"/>
    </row>
    <row r="341">
      <c r="A341" s="86"/>
      <c r="C341" s="2"/>
    </row>
    <row r="342">
      <c r="A342" s="86"/>
      <c r="C342" s="2"/>
    </row>
    <row r="343">
      <c r="A343" s="86"/>
      <c r="C343" s="2"/>
    </row>
    <row r="344">
      <c r="A344" s="86"/>
      <c r="C344" s="2"/>
    </row>
    <row r="345">
      <c r="A345" s="86"/>
      <c r="C345" s="2"/>
    </row>
    <row r="346">
      <c r="A346" s="86"/>
      <c r="C346" s="2"/>
    </row>
    <row r="347">
      <c r="A347" s="86"/>
      <c r="C347" s="2"/>
    </row>
    <row r="348">
      <c r="A348" s="86"/>
      <c r="C348" s="2"/>
    </row>
    <row r="349">
      <c r="A349" s="86"/>
      <c r="C349" s="2"/>
    </row>
    <row r="350">
      <c r="A350" s="86"/>
      <c r="C350" s="2"/>
    </row>
    <row r="351">
      <c r="A351" s="86"/>
      <c r="C351" s="2"/>
    </row>
    <row r="352">
      <c r="A352" s="86"/>
      <c r="C352" s="2"/>
    </row>
    <row r="353">
      <c r="A353" s="86"/>
      <c r="C353" s="2"/>
    </row>
    <row r="354">
      <c r="A354" s="86"/>
      <c r="C354" s="2"/>
    </row>
    <row r="355">
      <c r="A355" s="86"/>
      <c r="C355" s="2"/>
    </row>
    <row r="356">
      <c r="A356" s="86"/>
      <c r="C356" s="2"/>
    </row>
    <row r="357">
      <c r="A357" s="86"/>
      <c r="C357" s="2"/>
    </row>
    <row r="358">
      <c r="A358" s="86"/>
      <c r="C358" s="2"/>
    </row>
    <row r="359">
      <c r="A359" s="86"/>
      <c r="C359" s="2"/>
    </row>
    <row r="360">
      <c r="A360" s="86"/>
      <c r="C360" s="2"/>
    </row>
    <row r="361">
      <c r="A361" s="86"/>
      <c r="C361" s="2"/>
    </row>
    <row r="362">
      <c r="A362" s="86"/>
      <c r="C362" s="2"/>
    </row>
    <row r="363">
      <c r="A363" s="86"/>
      <c r="C363" s="2"/>
    </row>
    <row r="364">
      <c r="A364" s="86"/>
      <c r="C364" s="2"/>
    </row>
    <row r="365">
      <c r="A365" s="86"/>
      <c r="C365" s="2"/>
    </row>
    <row r="366">
      <c r="A366" s="86"/>
      <c r="C366" s="2"/>
    </row>
    <row r="367">
      <c r="A367" s="86"/>
      <c r="C367" s="2"/>
    </row>
    <row r="368">
      <c r="A368" s="86"/>
      <c r="C368" s="2"/>
    </row>
    <row r="369">
      <c r="A369" s="86"/>
      <c r="C369" s="2"/>
    </row>
    <row r="370">
      <c r="A370" s="86"/>
      <c r="C370" s="2"/>
    </row>
    <row r="371">
      <c r="A371" s="86"/>
      <c r="C371" s="2"/>
    </row>
    <row r="372">
      <c r="A372" s="86"/>
      <c r="C372" s="2"/>
    </row>
    <row r="373">
      <c r="A373" s="86"/>
      <c r="C373" s="2"/>
    </row>
    <row r="374">
      <c r="A374" s="86"/>
      <c r="C374" s="2"/>
    </row>
    <row r="375">
      <c r="A375" s="86"/>
      <c r="C375" s="2"/>
    </row>
    <row r="376">
      <c r="A376" s="86"/>
      <c r="C376" s="2"/>
    </row>
    <row r="377">
      <c r="A377" s="86"/>
      <c r="C377" s="2"/>
    </row>
    <row r="378">
      <c r="A378" s="86"/>
      <c r="C378" s="2"/>
    </row>
    <row r="379">
      <c r="A379" s="86"/>
      <c r="C379" s="2"/>
    </row>
    <row r="380">
      <c r="A380" s="86"/>
      <c r="C380" s="2"/>
    </row>
    <row r="381">
      <c r="A381" s="86"/>
      <c r="C381" s="2"/>
    </row>
    <row r="382">
      <c r="A382" s="86"/>
      <c r="C382" s="2"/>
    </row>
    <row r="383">
      <c r="A383" s="86"/>
      <c r="C383" s="2"/>
    </row>
    <row r="384">
      <c r="A384" s="86"/>
      <c r="C384" s="2"/>
    </row>
    <row r="385">
      <c r="A385" s="86"/>
      <c r="C385" s="2"/>
    </row>
    <row r="386">
      <c r="A386" s="86"/>
      <c r="C386" s="2"/>
    </row>
    <row r="387">
      <c r="A387" s="86"/>
      <c r="C387" s="2"/>
    </row>
    <row r="388">
      <c r="A388" s="86"/>
      <c r="C388" s="2"/>
    </row>
    <row r="389">
      <c r="A389" s="86"/>
      <c r="C389" s="2"/>
    </row>
    <row r="390">
      <c r="A390" s="86"/>
      <c r="C390" s="2"/>
    </row>
    <row r="391">
      <c r="A391" s="86"/>
      <c r="C391" s="2"/>
    </row>
    <row r="392">
      <c r="A392" s="86"/>
      <c r="C392" s="2"/>
    </row>
    <row r="393">
      <c r="A393" s="86"/>
      <c r="C393" s="2"/>
    </row>
    <row r="394">
      <c r="A394" s="86"/>
      <c r="C394" s="2"/>
    </row>
    <row r="395">
      <c r="A395" s="86"/>
      <c r="C395" s="2"/>
    </row>
    <row r="396">
      <c r="A396" s="86"/>
      <c r="C396" s="2"/>
    </row>
    <row r="397">
      <c r="A397" s="86"/>
      <c r="C397" s="2"/>
    </row>
    <row r="398">
      <c r="A398" s="86"/>
      <c r="C398" s="2"/>
    </row>
    <row r="399">
      <c r="A399" s="86"/>
      <c r="C399" s="2"/>
    </row>
    <row r="400">
      <c r="A400" s="86"/>
      <c r="C400" s="2"/>
    </row>
    <row r="401">
      <c r="A401" s="86"/>
      <c r="C401" s="2"/>
    </row>
    <row r="402">
      <c r="A402" s="86"/>
      <c r="C402" s="2"/>
    </row>
    <row r="403">
      <c r="A403" s="86"/>
      <c r="C403" s="2"/>
    </row>
    <row r="404">
      <c r="A404" s="86"/>
      <c r="C404" s="2"/>
    </row>
    <row r="405">
      <c r="A405" s="86"/>
      <c r="C405" s="2"/>
    </row>
    <row r="406">
      <c r="A406" s="86"/>
      <c r="C406" s="2"/>
    </row>
    <row r="407">
      <c r="A407" s="86"/>
      <c r="C407" s="2"/>
    </row>
    <row r="408">
      <c r="A408" s="86"/>
      <c r="C408" s="2"/>
    </row>
    <row r="409">
      <c r="A409" s="86"/>
      <c r="C409" s="2"/>
    </row>
    <row r="410">
      <c r="A410" s="86"/>
      <c r="C410" s="2"/>
    </row>
    <row r="411">
      <c r="A411" s="86"/>
      <c r="C411" s="2"/>
    </row>
    <row r="412">
      <c r="A412" s="86"/>
      <c r="C412" s="2"/>
    </row>
    <row r="413">
      <c r="A413" s="86"/>
      <c r="C413" s="2"/>
    </row>
    <row r="414">
      <c r="A414" s="86"/>
      <c r="C414" s="2"/>
    </row>
    <row r="415">
      <c r="A415" s="86"/>
      <c r="C415" s="2"/>
    </row>
    <row r="416">
      <c r="A416" s="86"/>
      <c r="C416" s="2"/>
    </row>
    <row r="417">
      <c r="A417" s="86"/>
      <c r="C417" s="2"/>
    </row>
    <row r="418">
      <c r="A418" s="86"/>
      <c r="C418" s="2"/>
    </row>
    <row r="419">
      <c r="A419" s="86"/>
      <c r="C419" s="2"/>
    </row>
    <row r="420">
      <c r="A420" s="86"/>
      <c r="C420" s="2"/>
    </row>
    <row r="421">
      <c r="A421" s="86"/>
      <c r="C421" s="2"/>
    </row>
    <row r="422">
      <c r="A422" s="86"/>
      <c r="C422" s="2"/>
    </row>
    <row r="423">
      <c r="A423" s="86"/>
      <c r="C423" s="2"/>
    </row>
    <row r="424">
      <c r="A424" s="86"/>
      <c r="C424" s="2"/>
    </row>
    <row r="425">
      <c r="A425" s="86"/>
      <c r="C425" s="2"/>
    </row>
    <row r="426">
      <c r="A426" s="86"/>
      <c r="C426" s="2"/>
    </row>
    <row r="427">
      <c r="A427" s="86"/>
      <c r="C427" s="2"/>
    </row>
    <row r="428">
      <c r="A428" s="86"/>
      <c r="C428" s="2"/>
    </row>
    <row r="429">
      <c r="A429" s="86"/>
      <c r="C429" s="2"/>
    </row>
    <row r="430">
      <c r="A430" s="86"/>
      <c r="C430" s="2"/>
    </row>
    <row r="431">
      <c r="A431" s="86"/>
      <c r="C431" s="2"/>
    </row>
    <row r="432">
      <c r="A432" s="86"/>
      <c r="C432" s="2"/>
    </row>
    <row r="433">
      <c r="A433" s="86"/>
      <c r="C433" s="2"/>
    </row>
    <row r="434">
      <c r="A434" s="86"/>
      <c r="C434" s="2"/>
    </row>
    <row r="435">
      <c r="A435" s="86"/>
      <c r="C435" s="2"/>
    </row>
    <row r="436">
      <c r="A436" s="86"/>
      <c r="C436" s="2"/>
    </row>
    <row r="437">
      <c r="A437" s="86"/>
      <c r="C437" s="2"/>
    </row>
    <row r="438">
      <c r="A438" s="86"/>
      <c r="C438" s="2"/>
    </row>
    <row r="439">
      <c r="A439" s="86"/>
      <c r="C439" s="2"/>
    </row>
    <row r="440">
      <c r="A440" s="86"/>
      <c r="C440" s="2"/>
    </row>
    <row r="441">
      <c r="A441" s="86"/>
      <c r="C441" s="2"/>
    </row>
    <row r="442">
      <c r="A442" s="86"/>
      <c r="C442" s="2"/>
    </row>
    <row r="443">
      <c r="A443" s="86"/>
      <c r="C443" s="2"/>
    </row>
    <row r="444">
      <c r="A444" s="86"/>
      <c r="C444" s="2"/>
    </row>
    <row r="445">
      <c r="A445" s="86"/>
      <c r="C445" s="2"/>
    </row>
    <row r="446">
      <c r="A446" s="86"/>
      <c r="C446" s="2"/>
    </row>
    <row r="447">
      <c r="A447" s="86"/>
      <c r="C447" s="2"/>
    </row>
    <row r="448">
      <c r="A448" s="86"/>
      <c r="C448" s="2"/>
    </row>
    <row r="449">
      <c r="A449" s="86"/>
      <c r="C449" s="2"/>
    </row>
    <row r="450">
      <c r="A450" s="86"/>
      <c r="C450" s="2"/>
    </row>
    <row r="451">
      <c r="A451" s="86"/>
      <c r="C451" s="2"/>
    </row>
    <row r="452">
      <c r="A452" s="86"/>
      <c r="C452" s="2"/>
    </row>
    <row r="453">
      <c r="A453" s="86"/>
      <c r="C453" s="2"/>
    </row>
    <row r="454">
      <c r="A454" s="86"/>
      <c r="C454" s="2"/>
    </row>
    <row r="455">
      <c r="A455" s="86"/>
      <c r="C455" s="2"/>
    </row>
    <row r="456">
      <c r="A456" s="86"/>
      <c r="C456" s="2"/>
    </row>
    <row r="457">
      <c r="A457" s="86"/>
      <c r="C457" s="2"/>
    </row>
    <row r="458">
      <c r="A458" s="86"/>
      <c r="C458" s="2"/>
    </row>
    <row r="459">
      <c r="A459" s="86"/>
      <c r="C459" s="2"/>
    </row>
    <row r="460">
      <c r="A460" s="86"/>
      <c r="C460" s="2"/>
    </row>
    <row r="461">
      <c r="A461" s="86"/>
      <c r="C461" s="2"/>
    </row>
    <row r="462">
      <c r="A462" s="86"/>
      <c r="C462" s="2"/>
    </row>
    <row r="463">
      <c r="A463" s="86"/>
      <c r="C463" s="2"/>
    </row>
    <row r="464">
      <c r="A464" s="86"/>
      <c r="C464" s="2"/>
    </row>
    <row r="465">
      <c r="A465" s="86"/>
      <c r="C465" s="2"/>
    </row>
    <row r="466">
      <c r="A466" s="86"/>
      <c r="C466" s="2"/>
    </row>
    <row r="467">
      <c r="A467" s="86"/>
      <c r="C467" s="2"/>
    </row>
    <row r="468">
      <c r="A468" s="86"/>
      <c r="C468" s="2"/>
    </row>
    <row r="469">
      <c r="A469" s="86"/>
      <c r="C469" s="2"/>
    </row>
    <row r="470">
      <c r="A470" s="86"/>
      <c r="C470" s="2"/>
    </row>
    <row r="471">
      <c r="A471" s="86"/>
      <c r="C471" s="2"/>
    </row>
    <row r="472">
      <c r="A472" s="86"/>
      <c r="C472" s="2"/>
    </row>
    <row r="473">
      <c r="A473" s="86"/>
      <c r="C473" s="2"/>
    </row>
    <row r="474">
      <c r="A474" s="86"/>
      <c r="C474" s="2"/>
    </row>
    <row r="475">
      <c r="A475" s="86"/>
      <c r="C475" s="2"/>
    </row>
    <row r="476">
      <c r="A476" s="86"/>
      <c r="C476" s="2"/>
    </row>
    <row r="477">
      <c r="A477" s="86"/>
      <c r="C477" s="2"/>
    </row>
    <row r="478">
      <c r="A478" s="86"/>
      <c r="C478" s="2"/>
    </row>
    <row r="479">
      <c r="A479" s="86"/>
      <c r="C479" s="2"/>
    </row>
    <row r="480">
      <c r="A480" s="86"/>
      <c r="C480" s="2"/>
    </row>
    <row r="481">
      <c r="A481" s="86"/>
      <c r="C481" s="2"/>
    </row>
    <row r="482">
      <c r="A482" s="86"/>
      <c r="C482" s="2"/>
    </row>
    <row r="483">
      <c r="A483" s="86"/>
      <c r="C483" s="2"/>
    </row>
    <row r="484">
      <c r="A484" s="86"/>
      <c r="C484" s="2"/>
    </row>
    <row r="485">
      <c r="A485" s="86"/>
      <c r="C485" s="2"/>
    </row>
    <row r="486">
      <c r="A486" s="86"/>
      <c r="C486" s="2"/>
    </row>
    <row r="487">
      <c r="A487" s="86"/>
      <c r="C487" s="2"/>
    </row>
    <row r="488">
      <c r="A488" s="86"/>
      <c r="C488" s="2"/>
    </row>
    <row r="489">
      <c r="A489" s="86"/>
      <c r="C489" s="2"/>
    </row>
    <row r="490">
      <c r="A490" s="86"/>
      <c r="C490" s="2"/>
    </row>
    <row r="491">
      <c r="A491" s="86"/>
      <c r="C491" s="2"/>
    </row>
    <row r="492">
      <c r="A492" s="86"/>
      <c r="C492" s="2"/>
    </row>
    <row r="493">
      <c r="A493" s="86"/>
      <c r="C493" s="2"/>
    </row>
    <row r="494">
      <c r="A494" s="86"/>
      <c r="C494" s="2"/>
    </row>
    <row r="495">
      <c r="A495" s="86"/>
      <c r="C495" s="2"/>
    </row>
    <row r="496">
      <c r="A496" s="86"/>
      <c r="C496" s="2"/>
    </row>
    <row r="497">
      <c r="A497" s="86"/>
      <c r="C497" s="2"/>
    </row>
    <row r="498">
      <c r="A498" s="86"/>
      <c r="C498" s="2"/>
    </row>
    <row r="499">
      <c r="A499" s="86"/>
      <c r="C499" s="2"/>
    </row>
    <row r="500">
      <c r="A500" s="86"/>
      <c r="C500" s="2"/>
    </row>
    <row r="501">
      <c r="A501" s="86"/>
      <c r="C501" s="2"/>
    </row>
    <row r="502">
      <c r="A502" s="86"/>
      <c r="C502" s="2"/>
    </row>
    <row r="503">
      <c r="A503" s="86"/>
      <c r="C503" s="2"/>
    </row>
    <row r="504">
      <c r="A504" s="86"/>
      <c r="C504" s="2"/>
    </row>
    <row r="505">
      <c r="A505" s="86"/>
      <c r="C505" s="2"/>
    </row>
    <row r="506">
      <c r="A506" s="86"/>
      <c r="C506" s="2"/>
    </row>
    <row r="507">
      <c r="A507" s="86"/>
      <c r="C507" s="2"/>
    </row>
    <row r="508">
      <c r="A508" s="86"/>
      <c r="C508" s="2"/>
    </row>
    <row r="509">
      <c r="A509" s="86"/>
      <c r="C509" s="2"/>
    </row>
    <row r="510">
      <c r="A510" s="86"/>
      <c r="C510" s="2"/>
    </row>
    <row r="511">
      <c r="A511" s="86"/>
      <c r="C511" s="2"/>
    </row>
    <row r="512">
      <c r="A512" s="86"/>
      <c r="C512" s="2"/>
    </row>
    <row r="513">
      <c r="A513" s="86"/>
      <c r="C513" s="2"/>
    </row>
    <row r="514">
      <c r="A514" s="86"/>
      <c r="C514" s="2"/>
    </row>
    <row r="515">
      <c r="A515" s="86"/>
      <c r="C515" s="2"/>
    </row>
    <row r="516">
      <c r="A516" s="86"/>
      <c r="C516" s="2"/>
    </row>
    <row r="517">
      <c r="A517" s="86"/>
      <c r="C517" s="2"/>
    </row>
    <row r="518">
      <c r="A518" s="86"/>
      <c r="C518" s="2"/>
    </row>
    <row r="519">
      <c r="A519" s="86"/>
      <c r="C519" s="2"/>
    </row>
    <row r="520">
      <c r="A520" s="86"/>
      <c r="C520" s="2"/>
    </row>
    <row r="521">
      <c r="A521" s="86"/>
      <c r="C521" s="2"/>
    </row>
    <row r="522">
      <c r="A522" s="86"/>
      <c r="C522" s="2"/>
    </row>
    <row r="523">
      <c r="A523" s="86"/>
      <c r="C523" s="2"/>
    </row>
    <row r="524">
      <c r="A524" s="86"/>
      <c r="C524" s="2"/>
    </row>
    <row r="525">
      <c r="A525" s="86"/>
      <c r="C525" s="2"/>
    </row>
    <row r="526">
      <c r="A526" s="86"/>
      <c r="C526" s="2"/>
    </row>
    <row r="527">
      <c r="A527" s="86"/>
      <c r="C527" s="2"/>
    </row>
    <row r="528">
      <c r="A528" s="86"/>
      <c r="C528" s="2"/>
    </row>
    <row r="529">
      <c r="A529" s="86"/>
      <c r="C529" s="2"/>
    </row>
    <row r="530">
      <c r="A530" s="86"/>
      <c r="C530" s="2"/>
    </row>
    <row r="531">
      <c r="A531" s="86"/>
      <c r="C531" s="2"/>
    </row>
    <row r="532">
      <c r="A532" s="86"/>
      <c r="C532" s="2"/>
    </row>
    <row r="533">
      <c r="A533" s="86"/>
      <c r="C533" s="2"/>
    </row>
    <row r="534">
      <c r="A534" s="86"/>
      <c r="C534" s="2"/>
    </row>
    <row r="535">
      <c r="A535" s="86"/>
      <c r="C535" s="2"/>
    </row>
    <row r="536">
      <c r="A536" s="86"/>
      <c r="C536" s="2"/>
    </row>
    <row r="537">
      <c r="A537" s="86"/>
      <c r="C537" s="2"/>
    </row>
    <row r="538">
      <c r="A538" s="86"/>
      <c r="C538" s="2"/>
    </row>
    <row r="539">
      <c r="A539" s="86"/>
      <c r="C539" s="2"/>
    </row>
    <row r="540">
      <c r="A540" s="86"/>
      <c r="C540" s="2"/>
    </row>
    <row r="541">
      <c r="A541" s="86"/>
      <c r="C541" s="2"/>
    </row>
    <row r="542">
      <c r="A542" s="86"/>
      <c r="C542" s="2"/>
    </row>
    <row r="543">
      <c r="A543" s="86"/>
      <c r="C543" s="2"/>
    </row>
    <row r="544">
      <c r="A544" s="86"/>
      <c r="C544" s="2"/>
    </row>
    <row r="545">
      <c r="A545" s="86"/>
      <c r="C545" s="2"/>
    </row>
    <row r="546">
      <c r="A546" s="86"/>
      <c r="C546" s="2"/>
    </row>
    <row r="547">
      <c r="A547" s="86"/>
      <c r="C547" s="2"/>
    </row>
    <row r="548">
      <c r="A548" s="86"/>
      <c r="C548" s="2"/>
    </row>
    <row r="549">
      <c r="A549" s="86"/>
      <c r="C549" s="2"/>
    </row>
    <row r="550">
      <c r="A550" s="86"/>
      <c r="C550" s="2"/>
    </row>
    <row r="551">
      <c r="A551" s="86"/>
      <c r="C551" s="2"/>
    </row>
    <row r="552">
      <c r="A552" s="86"/>
      <c r="C552" s="2"/>
    </row>
    <row r="553">
      <c r="A553" s="86"/>
      <c r="C553" s="2"/>
    </row>
    <row r="554">
      <c r="A554" s="86"/>
      <c r="C554" s="2"/>
    </row>
    <row r="555">
      <c r="A555" s="86"/>
      <c r="C555" s="2"/>
    </row>
    <row r="556">
      <c r="A556" s="86"/>
      <c r="C556" s="2"/>
    </row>
    <row r="557">
      <c r="A557" s="86"/>
      <c r="C557" s="2"/>
    </row>
    <row r="558">
      <c r="A558" s="86"/>
      <c r="C558" s="2"/>
    </row>
    <row r="559">
      <c r="A559" s="86"/>
      <c r="C559" s="2"/>
    </row>
    <row r="560">
      <c r="A560" s="86"/>
      <c r="C560" s="2"/>
    </row>
    <row r="561">
      <c r="A561" s="86"/>
      <c r="C561" s="2"/>
    </row>
    <row r="562">
      <c r="A562" s="86"/>
      <c r="C562" s="2"/>
    </row>
    <row r="563">
      <c r="A563" s="86"/>
      <c r="C563" s="2"/>
    </row>
    <row r="564">
      <c r="A564" s="86"/>
      <c r="C564" s="2"/>
    </row>
    <row r="565">
      <c r="A565" s="86"/>
      <c r="C565" s="2"/>
    </row>
    <row r="566">
      <c r="A566" s="86"/>
      <c r="C566" s="2"/>
    </row>
    <row r="567">
      <c r="A567" s="86"/>
      <c r="C567" s="2"/>
    </row>
    <row r="568">
      <c r="A568" s="86"/>
      <c r="C568" s="2"/>
    </row>
    <row r="569">
      <c r="A569" s="86"/>
      <c r="C569" s="2"/>
    </row>
    <row r="570">
      <c r="A570" s="86"/>
      <c r="C570" s="2"/>
    </row>
    <row r="571">
      <c r="A571" s="86"/>
      <c r="C571" s="2"/>
    </row>
    <row r="572">
      <c r="A572" s="86"/>
      <c r="C572" s="2"/>
    </row>
    <row r="573">
      <c r="A573" s="86"/>
      <c r="C573" s="2"/>
    </row>
    <row r="574">
      <c r="A574" s="86"/>
      <c r="C574" s="2"/>
    </row>
    <row r="575">
      <c r="A575" s="86"/>
      <c r="C575" s="2"/>
    </row>
    <row r="576">
      <c r="A576" s="86"/>
      <c r="C576" s="2"/>
    </row>
    <row r="577">
      <c r="A577" s="86"/>
      <c r="C577" s="2"/>
    </row>
    <row r="578">
      <c r="A578" s="86"/>
      <c r="C578" s="2"/>
    </row>
    <row r="579">
      <c r="A579" s="86"/>
      <c r="C579" s="2"/>
    </row>
    <row r="580">
      <c r="A580" s="86"/>
      <c r="C580" s="2"/>
    </row>
    <row r="581">
      <c r="A581" s="86"/>
      <c r="C581" s="2"/>
    </row>
    <row r="582">
      <c r="A582" s="86"/>
      <c r="C582" s="2"/>
    </row>
    <row r="583">
      <c r="A583" s="86"/>
      <c r="C583" s="2"/>
    </row>
    <row r="584">
      <c r="A584" s="86"/>
      <c r="C584" s="2"/>
    </row>
    <row r="585">
      <c r="A585" s="86"/>
      <c r="C585" s="2"/>
    </row>
    <row r="586">
      <c r="A586" s="86"/>
      <c r="C586" s="2"/>
    </row>
    <row r="587">
      <c r="A587" s="86"/>
      <c r="C587" s="2"/>
    </row>
    <row r="588">
      <c r="A588" s="86"/>
      <c r="C588" s="2"/>
    </row>
    <row r="589">
      <c r="A589" s="86"/>
      <c r="C589" s="2"/>
    </row>
    <row r="590">
      <c r="A590" s="86"/>
      <c r="C590" s="2"/>
    </row>
    <row r="591">
      <c r="A591" s="86"/>
      <c r="C591" s="2"/>
    </row>
    <row r="592">
      <c r="A592" s="86"/>
      <c r="C592" s="2"/>
    </row>
    <row r="593">
      <c r="A593" s="86"/>
      <c r="C593" s="2"/>
    </row>
    <row r="594">
      <c r="A594" s="86"/>
      <c r="C594" s="2"/>
    </row>
    <row r="595">
      <c r="A595" s="86"/>
      <c r="C595" s="2"/>
    </row>
    <row r="596">
      <c r="A596" s="86"/>
      <c r="C596" s="2"/>
    </row>
    <row r="597">
      <c r="A597" s="86"/>
      <c r="C597" s="2"/>
    </row>
    <row r="598">
      <c r="A598" s="86"/>
      <c r="C598" s="2"/>
    </row>
    <row r="599">
      <c r="A599" s="86"/>
      <c r="C599" s="2"/>
    </row>
    <row r="600">
      <c r="A600" s="86"/>
      <c r="C600" s="2"/>
    </row>
    <row r="601">
      <c r="A601" s="86"/>
      <c r="C601" s="2"/>
    </row>
    <row r="602">
      <c r="A602" s="86"/>
      <c r="C602" s="2"/>
    </row>
    <row r="603">
      <c r="A603" s="86"/>
      <c r="C603" s="2"/>
    </row>
    <row r="604">
      <c r="A604" s="86"/>
      <c r="C604" s="2"/>
    </row>
    <row r="605">
      <c r="A605" s="86"/>
      <c r="C605" s="2"/>
    </row>
    <row r="606">
      <c r="A606" s="86"/>
      <c r="C606" s="2"/>
    </row>
    <row r="607">
      <c r="A607" s="86"/>
      <c r="C607" s="2"/>
    </row>
    <row r="608">
      <c r="A608" s="86"/>
      <c r="C608" s="2"/>
    </row>
    <row r="609">
      <c r="A609" s="86"/>
      <c r="C609" s="2"/>
    </row>
    <row r="610">
      <c r="A610" s="86"/>
      <c r="C610" s="2"/>
    </row>
    <row r="611">
      <c r="A611" s="86"/>
      <c r="C611" s="2"/>
    </row>
    <row r="612">
      <c r="A612" s="86"/>
      <c r="C612" s="2"/>
    </row>
    <row r="613">
      <c r="A613" s="86"/>
      <c r="C613" s="2"/>
    </row>
    <row r="614">
      <c r="A614" s="86"/>
      <c r="C614" s="2"/>
    </row>
    <row r="615">
      <c r="A615" s="86"/>
      <c r="C615" s="2"/>
    </row>
    <row r="616">
      <c r="A616" s="86"/>
      <c r="C616" s="2"/>
    </row>
    <row r="617">
      <c r="A617" s="86"/>
      <c r="C617" s="2"/>
    </row>
    <row r="618">
      <c r="A618" s="86"/>
      <c r="C618" s="2"/>
    </row>
    <row r="619">
      <c r="A619" s="86"/>
      <c r="C619" s="2"/>
    </row>
    <row r="620">
      <c r="A620" s="86"/>
      <c r="C620" s="2"/>
    </row>
    <row r="621">
      <c r="A621" s="86"/>
      <c r="C621" s="2"/>
    </row>
    <row r="622">
      <c r="A622" s="86"/>
      <c r="C622" s="2"/>
    </row>
    <row r="623">
      <c r="A623" s="86"/>
      <c r="C623" s="2"/>
    </row>
    <row r="624">
      <c r="A624" s="86"/>
      <c r="C624" s="2"/>
    </row>
    <row r="625">
      <c r="A625" s="86"/>
      <c r="C625" s="2"/>
    </row>
    <row r="626">
      <c r="A626" s="86"/>
      <c r="C626" s="2"/>
    </row>
    <row r="627">
      <c r="A627" s="86"/>
      <c r="C627" s="2"/>
    </row>
    <row r="628">
      <c r="A628" s="86"/>
      <c r="C628" s="2"/>
    </row>
    <row r="629">
      <c r="A629" s="86"/>
      <c r="C629" s="2"/>
    </row>
    <row r="630">
      <c r="A630" s="86"/>
      <c r="C630" s="2"/>
    </row>
    <row r="631">
      <c r="A631" s="86"/>
      <c r="C631" s="2"/>
    </row>
    <row r="632">
      <c r="A632" s="86"/>
      <c r="C632" s="2"/>
    </row>
    <row r="633">
      <c r="A633" s="86"/>
      <c r="C633" s="2"/>
    </row>
    <row r="634">
      <c r="A634" s="86"/>
      <c r="C634" s="2"/>
    </row>
    <row r="635">
      <c r="A635" s="86"/>
      <c r="C635" s="2"/>
    </row>
    <row r="636">
      <c r="A636" s="86"/>
      <c r="C636" s="2"/>
    </row>
    <row r="637">
      <c r="A637" s="86"/>
      <c r="C637" s="2"/>
    </row>
    <row r="638">
      <c r="A638" s="86"/>
      <c r="C638" s="2"/>
    </row>
    <row r="639">
      <c r="A639" s="86"/>
      <c r="C639" s="2"/>
    </row>
    <row r="640">
      <c r="A640" s="86"/>
      <c r="C640" s="2"/>
    </row>
    <row r="641">
      <c r="A641" s="86"/>
      <c r="C641" s="2"/>
    </row>
    <row r="642">
      <c r="A642" s="86"/>
      <c r="C642" s="2"/>
    </row>
    <row r="643">
      <c r="A643" s="86"/>
      <c r="C643" s="2"/>
    </row>
    <row r="644">
      <c r="A644" s="86"/>
      <c r="C644" s="2"/>
    </row>
    <row r="645">
      <c r="A645" s="86"/>
      <c r="C645" s="2"/>
    </row>
    <row r="646">
      <c r="A646" s="86"/>
      <c r="C646" s="2"/>
    </row>
    <row r="647">
      <c r="A647" s="86"/>
      <c r="C647" s="2"/>
    </row>
    <row r="648">
      <c r="A648" s="86"/>
      <c r="C648" s="2"/>
    </row>
    <row r="649">
      <c r="A649" s="86"/>
      <c r="C649" s="2"/>
    </row>
    <row r="650">
      <c r="A650" s="86"/>
      <c r="C650" s="2"/>
    </row>
    <row r="651">
      <c r="A651" s="86"/>
      <c r="C651" s="2"/>
    </row>
    <row r="652">
      <c r="A652" s="86"/>
      <c r="C652" s="2"/>
    </row>
    <row r="653">
      <c r="A653" s="86"/>
      <c r="C653" s="2"/>
    </row>
    <row r="654">
      <c r="A654" s="86"/>
      <c r="C654" s="2"/>
    </row>
    <row r="655">
      <c r="A655" s="86"/>
      <c r="C655" s="2"/>
    </row>
    <row r="656">
      <c r="A656" s="86"/>
      <c r="C656" s="2"/>
    </row>
    <row r="657">
      <c r="A657" s="86"/>
      <c r="C657" s="2"/>
    </row>
    <row r="658">
      <c r="A658" s="86"/>
      <c r="C658" s="2"/>
    </row>
    <row r="659">
      <c r="A659" s="86"/>
      <c r="C659" s="2"/>
    </row>
    <row r="660">
      <c r="A660" s="86"/>
      <c r="C660" s="2"/>
    </row>
    <row r="661">
      <c r="A661" s="86"/>
      <c r="C661" s="2"/>
    </row>
    <row r="662">
      <c r="A662" s="86"/>
      <c r="C662" s="2"/>
    </row>
    <row r="663">
      <c r="A663" s="86"/>
      <c r="C663" s="2"/>
    </row>
    <row r="664">
      <c r="A664" s="86"/>
      <c r="C664" s="2"/>
    </row>
    <row r="665">
      <c r="A665" s="86"/>
      <c r="C665" s="2"/>
    </row>
    <row r="666">
      <c r="A666" s="86"/>
      <c r="C666" s="2"/>
    </row>
    <row r="667">
      <c r="A667" s="86"/>
      <c r="C667" s="2"/>
    </row>
    <row r="668">
      <c r="A668" s="86"/>
      <c r="C668" s="2"/>
    </row>
    <row r="669">
      <c r="A669" s="86"/>
      <c r="C669" s="2"/>
    </row>
    <row r="670">
      <c r="A670" s="86"/>
      <c r="C670" s="2"/>
    </row>
    <row r="671">
      <c r="A671" s="86"/>
      <c r="C671" s="2"/>
    </row>
    <row r="672">
      <c r="A672" s="86"/>
      <c r="C672" s="2"/>
    </row>
    <row r="673">
      <c r="A673" s="86"/>
      <c r="C673" s="2"/>
    </row>
    <row r="674">
      <c r="A674" s="86"/>
      <c r="C674" s="2"/>
    </row>
    <row r="675">
      <c r="A675" s="86"/>
      <c r="C675" s="2"/>
    </row>
    <row r="676">
      <c r="A676" s="86"/>
      <c r="C676" s="2"/>
    </row>
    <row r="677">
      <c r="A677" s="86"/>
      <c r="C677" s="2"/>
    </row>
    <row r="678">
      <c r="A678" s="86"/>
      <c r="C678" s="2"/>
    </row>
    <row r="679">
      <c r="A679" s="86"/>
      <c r="C679" s="2"/>
    </row>
    <row r="680">
      <c r="A680" s="86"/>
      <c r="C680" s="2"/>
    </row>
    <row r="681">
      <c r="A681" s="86"/>
      <c r="C681" s="2"/>
    </row>
    <row r="682">
      <c r="A682" s="86"/>
      <c r="C682" s="2"/>
    </row>
    <row r="683">
      <c r="A683" s="86"/>
      <c r="C683" s="2"/>
    </row>
    <row r="684">
      <c r="A684" s="86"/>
      <c r="C684" s="2"/>
    </row>
    <row r="685">
      <c r="A685" s="86"/>
      <c r="C685" s="2"/>
    </row>
    <row r="686">
      <c r="A686" s="86"/>
      <c r="C686" s="2"/>
    </row>
    <row r="687">
      <c r="A687" s="86"/>
      <c r="C687" s="2"/>
    </row>
    <row r="688">
      <c r="A688" s="86"/>
      <c r="C688" s="2"/>
    </row>
    <row r="689">
      <c r="A689" s="86"/>
      <c r="C689" s="2"/>
    </row>
    <row r="690">
      <c r="A690" s="86"/>
      <c r="C690" s="2"/>
    </row>
    <row r="691">
      <c r="A691" s="86"/>
      <c r="C691" s="2"/>
    </row>
    <row r="692">
      <c r="A692" s="86"/>
      <c r="C692" s="2"/>
    </row>
    <row r="693">
      <c r="A693" s="86"/>
      <c r="C693" s="2"/>
    </row>
    <row r="694">
      <c r="A694" s="86"/>
      <c r="C694" s="2"/>
    </row>
    <row r="695">
      <c r="A695" s="86"/>
      <c r="C695" s="2"/>
    </row>
    <row r="696">
      <c r="A696" s="86"/>
      <c r="C696" s="2"/>
    </row>
    <row r="697">
      <c r="A697" s="86"/>
      <c r="C697" s="2"/>
    </row>
    <row r="698">
      <c r="A698" s="86"/>
      <c r="C698" s="2"/>
    </row>
    <row r="699">
      <c r="A699" s="86"/>
      <c r="C699" s="2"/>
    </row>
    <row r="700">
      <c r="A700" s="86"/>
      <c r="C700" s="2"/>
    </row>
    <row r="701">
      <c r="A701" s="86"/>
      <c r="C701" s="2"/>
    </row>
    <row r="702">
      <c r="A702" s="86"/>
      <c r="C702" s="2"/>
    </row>
    <row r="703">
      <c r="A703" s="86"/>
      <c r="C703" s="2"/>
    </row>
    <row r="704">
      <c r="A704" s="86"/>
      <c r="C704" s="2"/>
    </row>
    <row r="705">
      <c r="A705" s="86"/>
      <c r="C705" s="2"/>
    </row>
    <row r="706">
      <c r="A706" s="86"/>
      <c r="C706" s="2"/>
    </row>
    <row r="707">
      <c r="A707" s="86"/>
      <c r="C707" s="2"/>
    </row>
    <row r="708">
      <c r="A708" s="86"/>
      <c r="C708" s="2"/>
    </row>
    <row r="709">
      <c r="A709" s="86"/>
      <c r="C709" s="2"/>
    </row>
    <row r="710">
      <c r="A710" s="86"/>
      <c r="C710" s="2"/>
    </row>
    <row r="711">
      <c r="A711" s="86"/>
      <c r="C711" s="2"/>
    </row>
    <row r="712">
      <c r="A712" s="86"/>
      <c r="C712" s="2"/>
    </row>
    <row r="713">
      <c r="A713" s="86"/>
      <c r="C713" s="2"/>
    </row>
    <row r="714">
      <c r="A714" s="86"/>
      <c r="C714" s="2"/>
    </row>
    <row r="715">
      <c r="A715" s="86"/>
      <c r="C715" s="2"/>
    </row>
    <row r="716">
      <c r="A716" s="86"/>
      <c r="C716" s="2"/>
    </row>
    <row r="717">
      <c r="A717" s="86"/>
      <c r="C717" s="2"/>
    </row>
    <row r="718">
      <c r="A718" s="86"/>
      <c r="C718" s="2"/>
    </row>
    <row r="719">
      <c r="A719" s="86"/>
      <c r="C719" s="2"/>
    </row>
    <row r="720">
      <c r="A720" s="86"/>
      <c r="C720" s="2"/>
    </row>
    <row r="721">
      <c r="A721" s="86"/>
      <c r="C721" s="2"/>
    </row>
    <row r="722">
      <c r="A722" s="86"/>
      <c r="C722" s="2"/>
    </row>
    <row r="723">
      <c r="A723" s="86"/>
      <c r="C723" s="2"/>
    </row>
    <row r="724">
      <c r="A724" s="86"/>
      <c r="C724" s="2"/>
    </row>
    <row r="725">
      <c r="A725" s="86"/>
      <c r="C725" s="2"/>
    </row>
    <row r="726">
      <c r="A726" s="86"/>
      <c r="C726" s="2"/>
    </row>
    <row r="727">
      <c r="A727" s="86"/>
      <c r="C727" s="2"/>
    </row>
    <row r="728">
      <c r="A728" s="86"/>
      <c r="C728" s="2"/>
    </row>
    <row r="729">
      <c r="A729" s="86"/>
      <c r="C729" s="2"/>
    </row>
    <row r="730">
      <c r="A730" s="86"/>
      <c r="C730" s="2"/>
    </row>
    <row r="731">
      <c r="A731" s="86"/>
      <c r="C731" s="2"/>
    </row>
    <row r="732">
      <c r="A732" s="86"/>
      <c r="C732" s="2"/>
    </row>
    <row r="733">
      <c r="A733" s="86"/>
      <c r="C733" s="2"/>
    </row>
    <row r="734">
      <c r="A734" s="86"/>
      <c r="C734" s="2"/>
    </row>
    <row r="735">
      <c r="A735" s="86"/>
      <c r="C735" s="2"/>
    </row>
    <row r="736">
      <c r="A736" s="86"/>
      <c r="C736" s="2"/>
    </row>
    <row r="737">
      <c r="A737" s="86"/>
      <c r="C737" s="2"/>
    </row>
    <row r="738">
      <c r="A738" s="86"/>
      <c r="C738" s="2"/>
    </row>
    <row r="739">
      <c r="A739" s="86"/>
      <c r="C739" s="2"/>
    </row>
    <row r="740">
      <c r="A740" s="86"/>
      <c r="C740" s="2"/>
    </row>
    <row r="741">
      <c r="A741" s="86"/>
      <c r="C741" s="2"/>
    </row>
    <row r="742">
      <c r="A742" s="86"/>
      <c r="C742" s="2"/>
    </row>
    <row r="743">
      <c r="A743" s="86"/>
      <c r="C743" s="2"/>
    </row>
    <row r="744">
      <c r="A744" s="86"/>
      <c r="C744" s="2"/>
    </row>
    <row r="745">
      <c r="A745" s="86"/>
      <c r="C745" s="2"/>
    </row>
    <row r="746">
      <c r="A746" s="86"/>
      <c r="C746" s="2"/>
    </row>
    <row r="747">
      <c r="A747" s="86"/>
      <c r="C747" s="2"/>
    </row>
    <row r="748">
      <c r="A748" s="86"/>
      <c r="C748" s="2"/>
    </row>
    <row r="749">
      <c r="A749" s="86"/>
      <c r="C749" s="2"/>
    </row>
    <row r="750">
      <c r="A750" s="86"/>
      <c r="C750" s="2"/>
    </row>
    <row r="751">
      <c r="A751" s="86"/>
      <c r="C751" s="2"/>
    </row>
    <row r="752">
      <c r="A752" s="86"/>
      <c r="C752" s="2"/>
    </row>
    <row r="753">
      <c r="A753" s="86"/>
      <c r="C753" s="2"/>
    </row>
    <row r="754">
      <c r="A754" s="86"/>
      <c r="C754" s="2"/>
    </row>
    <row r="755">
      <c r="A755" s="86"/>
      <c r="C755" s="2"/>
    </row>
    <row r="756">
      <c r="A756" s="86"/>
      <c r="C756" s="2"/>
    </row>
    <row r="757">
      <c r="A757" s="86"/>
      <c r="C757" s="2"/>
    </row>
    <row r="758">
      <c r="A758" s="86"/>
      <c r="C758" s="2"/>
    </row>
    <row r="759">
      <c r="A759" s="86"/>
      <c r="C759" s="2"/>
    </row>
    <row r="760">
      <c r="A760" s="86"/>
      <c r="C760" s="2"/>
    </row>
    <row r="761">
      <c r="A761" s="86"/>
      <c r="C761" s="2"/>
    </row>
    <row r="762">
      <c r="A762" s="86"/>
      <c r="C762" s="2"/>
    </row>
    <row r="763">
      <c r="A763" s="86"/>
      <c r="C763" s="2"/>
    </row>
    <row r="764">
      <c r="A764" s="86"/>
      <c r="C764" s="2"/>
    </row>
    <row r="765">
      <c r="A765" s="86"/>
      <c r="C765" s="2"/>
    </row>
    <row r="766">
      <c r="A766" s="86"/>
      <c r="C766" s="2"/>
    </row>
    <row r="767">
      <c r="A767" s="86"/>
      <c r="C767" s="2"/>
    </row>
    <row r="768">
      <c r="A768" s="86"/>
      <c r="C768" s="2"/>
    </row>
    <row r="769">
      <c r="A769" s="86"/>
      <c r="C769" s="2"/>
    </row>
    <row r="770">
      <c r="A770" s="86"/>
      <c r="C770" s="2"/>
    </row>
    <row r="771">
      <c r="A771" s="86"/>
      <c r="C771" s="2"/>
    </row>
    <row r="772">
      <c r="A772" s="86"/>
      <c r="C772" s="2"/>
    </row>
    <row r="773">
      <c r="A773" s="86"/>
      <c r="C773" s="2"/>
    </row>
    <row r="774">
      <c r="A774" s="86"/>
      <c r="C774" s="2"/>
    </row>
    <row r="775">
      <c r="A775" s="86"/>
      <c r="C775" s="2"/>
    </row>
    <row r="776">
      <c r="A776" s="86"/>
      <c r="C776" s="2"/>
    </row>
    <row r="777">
      <c r="A777" s="86"/>
      <c r="C777" s="2"/>
    </row>
    <row r="778">
      <c r="A778" s="86"/>
      <c r="C778" s="2"/>
    </row>
    <row r="779">
      <c r="A779" s="86"/>
      <c r="C779" s="2"/>
    </row>
    <row r="780">
      <c r="A780" s="86"/>
      <c r="C780" s="2"/>
    </row>
    <row r="781">
      <c r="A781" s="86"/>
      <c r="C781" s="2"/>
    </row>
    <row r="782">
      <c r="A782" s="86"/>
      <c r="C782" s="2"/>
    </row>
    <row r="783">
      <c r="A783" s="86"/>
      <c r="C783" s="2"/>
    </row>
    <row r="784">
      <c r="A784" s="86"/>
      <c r="C784" s="2"/>
    </row>
    <row r="785">
      <c r="A785" s="86"/>
      <c r="C785" s="2"/>
    </row>
    <row r="786">
      <c r="A786" s="86"/>
      <c r="C786" s="2"/>
    </row>
    <row r="787">
      <c r="A787" s="86"/>
      <c r="C787" s="2"/>
    </row>
    <row r="788">
      <c r="A788" s="86"/>
      <c r="C788" s="2"/>
    </row>
    <row r="789">
      <c r="A789" s="86"/>
      <c r="C789" s="2"/>
    </row>
    <row r="790">
      <c r="A790" s="86"/>
      <c r="C790" s="2"/>
    </row>
    <row r="791">
      <c r="A791" s="86"/>
      <c r="C791" s="2"/>
    </row>
    <row r="792">
      <c r="A792" s="86"/>
      <c r="C792" s="2"/>
    </row>
    <row r="793">
      <c r="A793" s="86"/>
      <c r="C793" s="2"/>
    </row>
    <row r="794">
      <c r="A794" s="86"/>
      <c r="C794" s="2"/>
    </row>
    <row r="795">
      <c r="A795" s="86"/>
      <c r="C795" s="2"/>
    </row>
    <row r="796">
      <c r="A796" s="86"/>
      <c r="C796" s="2"/>
    </row>
    <row r="797">
      <c r="A797" s="86"/>
      <c r="C797" s="2"/>
    </row>
    <row r="798">
      <c r="A798" s="86"/>
      <c r="C798" s="2"/>
    </row>
    <row r="799">
      <c r="A799" s="86"/>
      <c r="C799" s="2"/>
    </row>
    <row r="800">
      <c r="A800" s="86"/>
      <c r="C800" s="2"/>
    </row>
    <row r="801">
      <c r="A801" s="86"/>
      <c r="C801" s="2"/>
    </row>
    <row r="802">
      <c r="A802" s="86"/>
      <c r="C802" s="2"/>
    </row>
    <row r="803">
      <c r="A803" s="86"/>
      <c r="C803" s="2"/>
    </row>
    <row r="804">
      <c r="A804" s="86"/>
      <c r="C804" s="2"/>
    </row>
    <row r="805">
      <c r="A805" s="86"/>
      <c r="C805" s="2"/>
    </row>
    <row r="806">
      <c r="A806" s="86"/>
      <c r="C806" s="2"/>
    </row>
    <row r="807">
      <c r="A807" s="86"/>
      <c r="C807" s="2"/>
    </row>
    <row r="808">
      <c r="A808" s="86"/>
      <c r="C808" s="2"/>
    </row>
    <row r="809">
      <c r="A809" s="86"/>
      <c r="C809" s="2"/>
    </row>
    <row r="810">
      <c r="A810" s="86"/>
      <c r="C810" s="2"/>
    </row>
    <row r="811">
      <c r="A811" s="86"/>
      <c r="C811" s="2"/>
    </row>
    <row r="812">
      <c r="A812" s="86"/>
      <c r="C812" s="2"/>
    </row>
    <row r="813">
      <c r="A813" s="86"/>
      <c r="C813" s="2"/>
    </row>
    <row r="814">
      <c r="A814" s="86"/>
      <c r="C814" s="2"/>
    </row>
    <row r="815">
      <c r="A815" s="86"/>
      <c r="C815" s="2"/>
    </row>
    <row r="816">
      <c r="A816" s="86"/>
      <c r="C816" s="2"/>
    </row>
    <row r="817">
      <c r="A817" s="86"/>
      <c r="C817" s="2"/>
    </row>
    <row r="818">
      <c r="A818" s="86"/>
      <c r="C818" s="2"/>
    </row>
    <row r="819">
      <c r="A819" s="86"/>
      <c r="C819" s="2"/>
    </row>
    <row r="820">
      <c r="A820" s="86"/>
      <c r="C820" s="2"/>
    </row>
    <row r="821">
      <c r="A821" s="86"/>
      <c r="C821" s="2"/>
    </row>
    <row r="822">
      <c r="A822" s="86"/>
      <c r="C822" s="2"/>
    </row>
    <row r="823">
      <c r="A823" s="86"/>
      <c r="C823" s="2"/>
    </row>
    <row r="824">
      <c r="A824" s="86"/>
      <c r="C824" s="2"/>
    </row>
    <row r="825">
      <c r="A825" s="86"/>
      <c r="C825" s="2"/>
    </row>
    <row r="826">
      <c r="A826" s="86"/>
      <c r="C826" s="2"/>
    </row>
    <row r="827">
      <c r="A827" s="86"/>
      <c r="C827" s="2"/>
    </row>
    <row r="828">
      <c r="A828" s="86"/>
      <c r="C828" s="2"/>
    </row>
    <row r="829">
      <c r="A829" s="86"/>
      <c r="C829" s="2"/>
    </row>
    <row r="830">
      <c r="A830" s="86"/>
      <c r="C830" s="2"/>
    </row>
    <row r="831">
      <c r="A831" s="86"/>
      <c r="C831" s="2"/>
    </row>
    <row r="832">
      <c r="A832" s="86"/>
      <c r="C832" s="2"/>
    </row>
    <row r="833">
      <c r="A833" s="86"/>
      <c r="C833" s="2"/>
    </row>
    <row r="834">
      <c r="A834" s="86"/>
      <c r="C834" s="2"/>
    </row>
    <row r="835">
      <c r="A835" s="86"/>
      <c r="C835" s="2"/>
    </row>
    <row r="836">
      <c r="A836" s="86"/>
      <c r="C836" s="2"/>
    </row>
    <row r="837">
      <c r="A837" s="86"/>
      <c r="C837" s="2"/>
    </row>
    <row r="838">
      <c r="A838" s="86"/>
      <c r="C838" s="2"/>
    </row>
    <row r="839">
      <c r="A839" s="86"/>
      <c r="C839" s="2"/>
    </row>
    <row r="840">
      <c r="A840" s="86"/>
      <c r="C840" s="2"/>
    </row>
    <row r="841">
      <c r="A841" s="86"/>
      <c r="C841" s="2"/>
    </row>
    <row r="842">
      <c r="A842" s="86"/>
      <c r="C842" s="2"/>
    </row>
    <row r="843">
      <c r="A843" s="86"/>
      <c r="C843" s="2"/>
    </row>
    <row r="844">
      <c r="A844" s="86"/>
      <c r="C844" s="2"/>
    </row>
    <row r="845">
      <c r="A845" s="86"/>
      <c r="C845" s="2"/>
    </row>
    <row r="846">
      <c r="A846" s="86"/>
      <c r="C846" s="2"/>
    </row>
    <row r="847">
      <c r="A847" s="86"/>
      <c r="C847" s="2"/>
    </row>
    <row r="848">
      <c r="A848" s="86"/>
      <c r="C848" s="2"/>
    </row>
    <row r="849">
      <c r="A849" s="86"/>
      <c r="C849" s="2"/>
    </row>
    <row r="850">
      <c r="A850" s="86"/>
      <c r="C850" s="2"/>
    </row>
    <row r="851">
      <c r="A851" s="86"/>
      <c r="C851" s="2"/>
    </row>
    <row r="852">
      <c r="A852" s="86"/>
      <c r="C852" s="2"/>
    </row>
    <row r="853">
      <c r="A853" s="86"/>
      <c r="C853" s="2"/>
    </row>
    <row r="854">
      <c r="A854" s="86"/>
      <c r="C854" s="2"/>
    </row>
    <row r="855">
      <c r="A855" s="86"/>
      <c r="C855" s="2"/>
    </row>
    <row r="856">
      <c r="A856" s="86"/>
      <c r="C856" s="2"/>
    </row>
    <row r="857">
      <c r="A857" s="86"/>
      <c r="C857" s="2"/>
    </row>
    <row r="858">
      <c r="A858" s="86"/>
      <c r="C858" s="2"/>
    </row>
    <row r="859">
      <c r="A859" s="86"/>
      <c r="C859" s="2"/>
    </row>
    <row r="860">
      <c r="A860" s="86"/>
      <c r="C860" s="2"/>
    </row>
    <row r="861">
      <c r="A861" s="86"/>
      <c r="C861" s="2"/>
    </row>
    <row r="862">
      <c r="A862" s="86"/>
      <c r="C862" s="2"/>
    </row>
    <row r="863">
      <c r="A863" s="86"/>
      <c r="C863" s="2"/>
    </row>
    <row r="864">
      <c r="A864" s="86"/>
      <c r="C864" s="2"/>
    </row>
    <row r="865">
      <c r="A865" s="86"/>
      <c r="C865" s="2"/>
    </row>
    <row r="866">
      <c r="A866" s="86"/>
      <c r="C866" s="2"/>
    </row>
    <row r="867">
      <c r="A867" s="86"/>
      <c r="C867" s="2"/>
    </row>
    <row r="868">
      <c r="A868" s="86"/>
      <c r="C868" s="2"/>
    </row>
    <row r="869">
      <c r="A869" s="86"/>
      <c r="C869" s="2"/>
    </row>
    <row r="870">
      <c r="A870" s="86"/>
      <c r="C870" s="2"/>
    </row>
    <row r="871">
      <c r="A871" s="86"/>
      <c r="C871" s="2"/>
    </row>
    <row r="872">
      <c r="A872" s="86"/>
      <c r="C872" s="2"/>
    </row>
    <row r="873">
      <c r="A873" s="86"/>
      <c r="C873" s="2"/>
    </row>
    <row r="874">
      <c r="A874" s="86"/>
      <c r="C874" s="2"/>
    </row>
    <row r="875">
      <c r="A875" s="86"/>
      <c r="C875" s="2"/>
    </row>
    <row r="876">
      <c r="A876" s="86"/>
      <c r="C876" s="2"/>
    </row>
    <row r="877">
      <c r="A877" s="86"/>
      <c r="C877" s="2"/>
    </row>
    <row r="878">
      <c r="A878" s="86"/>
      <c r="C878" s="2"/>
    </row>
    <row r="879">
      <c r="A879" s="86"/>
      <c r="C879" s="2"/>
    </row>
    <row r="880">
      <c r="A880" s="86"/>
      <c r="C880" s="2"/>
    </row>
    <row r="881">
      <c r="A881" s="86"/>
      <c r="C881" s="2"/>
    </row>
    <row r="882">
      <c r="A882" s="86"/>
      <c r="C882" s="2"/>
    </row>
    <row r="883">
      <c r="A883" s="86"/>
      <c r="C883" s="2"/>
    </row>
    <row r="884">
      <c r="A884" s="86"/>
      <c r="C884" s="2"/>
    </row>
    <row r="885">
      <c r="A885" s="86"/>
      <c r="C885" s="2"/>
    </row>
    <row r="886">
      <c r="A886" s="86"/>
      <c r="C886" s="2"/>
    </row>
    <row r="887">
      <c r="A887" s="86"/>
      <c r="C887" s="2"/>
    </row>
    <row r="888">
      <c r="A888" s="86"/>
      <c r="C888" s="2"/>
    </row>
    <row r="889">
      <c r="A889" s="86"/>
      <c r="C889" s="2"/>
    </row>
    <row r="890">
      <c r="A890" s="86"/>
      <c r="C890" s="2"/>
    </row>
    <row r="891">
      <c r="A891" s="86"/>
      <c r="C891" s="2"/>
    </row>
    <row r="892">
      <c r="A892" s="86"/>
      <c r="C892" s="2"/>
    </row>
    <row r="893">
      <c r="A893" s="86"/>
      <c r="C893" s="2"/>
    </row>
    <row r="894">
      <c r="A894" s="86"/>
      <c r="C894" s="2"/>
    </row>
    <row r="895">
      <c r="A895" s="86"/>
      <c r="C895" s="2"/>
    </row>
    <row r="896">
      <c r="A896" s="86"/>
      <c r="C896" s="2"/>
    </row>
    <row r="897">
      <c r="A897" s="86"/>
      <c r="C897" s="2"/>
    </row>
    <row r="898">
      <c r="A898" s="86"/>
      <c r="C898" s="2"/>
    </row>
    <row r="899">
      <c r="A899" s="86"/>
      <c r="C899" s="2"/>
    </row>
    <row r="900">
      <c r="A900" s="86"/>
      <c r="C900" s="2"/>
    </row>
    <row r="901">
      <c r="A901" s="86"/>
      <c r="C901" s="2"/>
    </row>
    <row r="902">
      <c r="A902" s="86"/>
      <c r="C902" s="2"/>
    </row>
    <row r="903">
      <c r="A903" s="86"/>
      <c r="C903" s="2"/>
    </row>
    <row r="904">
      <c r="A904" s="86"/>
      <c r="C904" s="2"/>
    </row>
    <row r="905">
      <c r="A905" s="86"/>
      <c r="C905" s="2"/>
    </row>
    <row r="906">
      <c r="A906" s="86"/>
      <c r="C906" s="2"/>
    </row>
    <row r="907">
      <c r="A907" s="86"/>
      <c r="C907" s="2"/>
    </row>
    <row r="908">
      <c r="A908" s="86"/>
      <c r="C908" s="2"/>
    </row>
    <row r="909">
      <c r="A909" s="86"/>
      <c r="C909" s="2"/>
    </row>
    <row r="910">
      <c r="A910" s="86"/>
      <c r="C910" s="2"/>
    </row>
    <row r="911">
      <c r="A911" s="86"/>
      <c r="C911" s="2"/>
    </row>
    <row r="912">
      <c r="A912" s="86"/>
      <c r="C912" s="2"/>
    </row>
    <row r="913">
      <c r="A913" s="86"/>
      <c r="C913" s="2"/>
    </row>
    <row r="914">
      <c r="A914" s="86"/>
      <c r="C914" s="2"/>
    </row>
    <row r="915">
      <c r="A915" s="86"/>
      <c r="C915" s="2"/>
    </row>
    <row r="916">
      <c r="A916" s="86"/>
      <c r="C916" s="2"/>
    </row>
    <row r="917">
      <c r="A917" s="86"/>
      <c r="C917" s="2"/>
    </row>
    <row r="918">
      <c r="A918" s="86"/>
      <c r="C918" s="2"/>
    </row>
    <row r="919">
      <c r="A919" s="86"/>
      <c r="C919" s="2"/>
    </row>
    <row r="920">
      <c r="A920" s="86"/>
      <c r="C920" s="2"/>
    </row>
    <row r="921">
      <c r="A921" s="86"/>
      <c r="C921" s="2"/>
    </row>
    <row r="922">
      <c r="A922" s="86"/>
      <c r="C922" s="2"/>
    </row>
    <row r="923">
      <c r="A923" s="86"/>
      <c r="C923" s="2"/>
    </row>
    <row r="924">
      <c r="A924" s="86"/>
      <c r="C924" s="2"/>
    </row>
    <row r="925">
      <c r="A925" s="86"/>
      <c r="C925" s="2"/>
    </row>
    <row r="926">
      <c r="A926" s="86"/>
      <c r="C926" s="2"/>
    </row>
    <row r="927">
      <c r="A927" s="86"/>
      <c r="C927" s="2"/>
    </row>
    <row r="928">
      <c r="A928" s="86"/>
      <c r="C928" s="2"/>
    </row>
    <row r="929">
      <c r="A929" s="86"/>
      <c r="C929" s="2"/>
    </row>
    <row r="930">
      <c r="A930" s="86"/>
      <c r="C930" s="2"/>
    </row>
    <row r="931">
      <c r="A931" s="86"/>
      <c r="C931" s="2"/>
    </row>
    <row r="932">
      <c r="A932" s="86"/>
      <c r="C932" s="2"/>
    </row>
    <row r="933">
      <c r="A933" s="86"/>
      <c r="C933" s="2"/>
    </row>
    <row r="934">
      <c r="A934" s="86"/>
      <c r="C934" s="2"/>
    </row>
    <row r="935">
      <c r="A935" s="86"/>
      <c r="C935" s="2"/>
    </row>
    <row r="936">
      <c r="A936" s="86"/>
      <c r="C936" s="2"/>
    </row>
    <row r="937">
      <c r="A937" s="86"/>
      <c r="C937" s="2"/>
    </row>
    <row r="938">
      <c r="A938" s="86"/>
      <c r="C938" s="2"/>
    </row>
    <row r="939">
      <c r="A939" s="86"/>
      <c r="C939" s="2"/>
    </row>
    <row r="940">
      <c r="A940" s="86"/>
      <c r="C940" s="2"/>
    </row>
    <row r="941">
      <c r="A941" s="86"/>
      <c r="C941" s="2"/>
    </row>
    <row r="942">
      <c r="A942" s="86"/>
      <c r="C942" s="2"/>
    </row>
    <row r="943">
      <c r="A943" s="86"/>
      <c r="C943" s="2"/>
    </row>
    <row r="944">
      <c r="A944" s="86"/>
      <c r="C944" s="2"/>
    </row>
    <row r="945">
      <c r="A945" s="86"/>
      <c r="C945" s="2"/>
    </row>
    <row r="946">
      <c r="A946" s="86"/>
      <c r="C946" s="2"/>
    </row>
    <row r="947">
      <c r="A947" s="86"/>
      <c r="C947" s="2"/>
    </row>
    <row r="948">
      <c r="A948" s="86"/>
      <c r="C948" s="2"/>
    </row>
    <row r="949">
      <c r="A949" s="86"/>
      <c r="C949" s="2"/>
    </row>
    <row r="950">
      <c r="A950" s="86"/>
      <c r="C950" s="2"/>
    </row>
    <row r="951">
      <c r="A951" s="86"/>
      <c r="C951" s="2"/>
    </row>
    <row r="952">
      <c r="A952" s="86"/>
      <c r="C952" s="2"/>
    </row>
    <row r="953">
      <c r="A953" s="86"/>
      <c r="C953" s="2"/>
    </row>
    <row r="954">
      <c r="A954" s="86"/>
      <c r="C954" s="2"/>
    </row>
    <row r="955">
      <c r="A955" s="86"/>
      <c r="C955" s="2"/>
    </row>
    <row r="956">
      <c r="A956" s="86"/>
      <c r="C956" s="2"/>
    </row>
    <row r="957">
      <c r="A957" s="86"/>
      <c r="C957" s="2"/>
    </row>
    <row r="958">
      <c r="A958" s="86"/>
      <c r="C958" s="2"/>
    </row>
    <row r="959">
      <c r="A959" s="86"/>
      <c r="C959" s="2"/>
    </row>
    <row r="960">
      <c r="A960" s="86"/>
      <c r="C960" s="2"/>
    </row>
    <row r="961">
      <c r="A961" s="86"/>
      <c r="C961" s="2"/>
    </row>
    <row r="962">
      <c r="A962" s="86"/>
      <c r="C962" s="2"/>
    </row>
    <row r="963">
      <c r="A963" s="86"/>
      <c r="C963" s="2"/>
    </row>
    <row r="964">
      <c r="A964" s="86"/>
      <c r="C964" s="2"/>
    </row>
    <row r="965">
      <c r="A965" s="86"/>
      <c r="C965" s="2"/>
    </row>
    <row r="966">
      <c r="A966" s="86"/>
      <c r="C966" s="2"/>
    </row>
    <row r="967">
      <c r="A967" s="86"/>
      <c r="C967" s="2"/>
    </row>
    <row r="968">
      <c r="A968" s="86"/>
      <c r="C968" s="2"/>
    </row>
    <row r="969">
      <c r="A969" s="86"/>
      <c r="C969" s="2"/>
    </row>
    <row r="970">
      <c r="A970" s="86"/>
      <c r="C970" s="2"/>
    </row>
    <row r="971">
      <c r="A971" s="86"/>
      <c r="C971" s="2"/>
    </row>
    <row r="972">
      <c r="A972" s="86"/>
      <c r="C972" s="2"/>
    </row>
    <row r="973">
      <c r="A973" s="86"/>
      <c r="C973" s="2"/>
    </row>
    <row r="974">
      <c r="A974" s="86"/>
      <c r="C974" s="2"/>
    </row>
    <row r="975">
      <c r="A975" s="86"/>
      <c r="C975" s="2"/>
    </row>
    <row r="976">
      <c r="A976" s="86"/>
      <c r="C976" s="2"/>
    </row>
    <row r="977">
      <c r="A977" s="86"/>
      <c r="C977" s="2"/>
    </row>
    <row r="978">
      <c r="A978" s="86"/>
      <c r="C978" s="2"/>
    </row>
    <row r="979">
      <c r="A979" s="86"/>
      <c r="C979" s="2"/>
    </row>
    <row r="980">
      <c r="A980" s="86"/>
      <c r="C980" s="2"/>
    </row>
    <row r="981">
      <c r="A981" s="86"/>
      <c r="C981" s="2"/>
    </row>
    <row r="982">
      <c r="A982" s="86"/>
      <c r="C982" s="2"/>
    </row>
    <row r="983">
      <c r="A983" s="86"/>
      <c r="C983" s="2"/>
    </row>
    <row r="984">
      <c r="A984" s="86"/>
      <c r="C984" s="2"/>
    </row>
    <row r="985">
      <c r="A985" s="86"/>
      <c r="C985" s="2"/>
    </row>
    <row r="986">
      <c r="A986" s="86"/>
      <c r="C986" s="2"/>
    </row>
    <row r="987">
      <c r="A987" s="86"/>
      <c r="C987" s="2"/>
    </row>
    <row r="988">
      <c r="A988" s="86"/>
      <c r="C988" s="2"/>
    </row>
    <row r="989">
      <c r="A989" s="86"/>
      <c r="C989" s="2"/>
    </row>
    <row r="990">
      <c r="A990" s="86"/>
      <c r="C990" s="2"/>
    </row>
    <row r="991">
      <c r="A991" s="86"/>
      <c r="C991" s="2"/>
    </row>
    <row r="992">
      <c r="A992" s="86"/>
      <c r="C992" s="2"/>
    </row>
    <row r="993">
      <c r="A993" s="86"/>
      <c r="C993" s="2"/>
    </row>
    <row r="994">
      <c r="A994" s="86"/>
      <c r="C994" s="2"/>
    </row>
    <row r="995">
      <c r="A995" s="86"/>
      <c r="C995" s="2"/>
    </row>
    <row r="996">
      <c r="A996" s="86"/>
      <c r="C996" s="2"/>
    </row>
    <row r="997">
      <c r="A997" s="86"/>
      <c r="C997" s="2"/>
    </row>
    <row r="998">
      <c r="A998" s="86"/>
      <c r="C998" s="2"/>
    </row>
    <row r="999">
      <c r="A999" s="86"/>
      <c r="C999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  <col customWidth="1" min="7" max="7" width="12.25"/>
    <col customWidth="1" min="9" max="9" width="11.88"/>
  </cols>
  <sheetData>
    <row r="1">
      <c r="A1" s="6" t="s">
        <v>17</v>
      </c>
      <c r="B1" s="6" t="s">
        <v>3</v>
      </c>
      <c r="C1" s="6" t="s">
        <v>4</v>
      </c>
      <c r="D1" s="3" t="s">
        <v>5</v>
      </c>
    </row>
    <row r="2">
      <c r="A2" s="9">
        <v>45665.0</v>
      </c>
      <c r="B2" s="6" t="s">
        <v>591</v>
      </c>
      <c r="C2" s="6" t="s">
        <v>592</v>
      </c>
      <c r="D2" s="3">
        <v>500.0</v>
      </c>
      <c r="F2" s="6" t="s">
        <v>27</v>
      </c>
      <c r="G2" s="2">
        <f>sum(D2:D9995)</f>
        <v>2923.95</v>
      </c>
    </row>
    <row r="3">
      <c r="A3" s="87">
        <v>45922.0</v>
      </c>
      <c r="B3" s="6" t="s">
        <v>593</v>
      </c>
      <c r="C3" s="6" t="s">
        <v>594</v>
      </c>
      <c r="D3" s="3">
        <v>-20000.0</v>
      </c>
    </row>
    <row r="4">
      <c r="A4" s="87">
        <v>45926.0</v>
      </c>
      <c r="B4" s="6" t="s">
        <v>228</v>
      </c>
      <c r="C4" s="6" t="s">
        <v>594</v>
      </c>
      <c r="D4" s="3">
        <v>20000.0</v>
      </c>
    </row>
    <row r="5">
      <c r="A5" s="87">
        <v>46059.0</v>
      </c>
      <c r="B5" s="6" t="s">
        <v>593</v>
      </c>
      <c r="C5" s="6" t="s">
        <v>595</v>
      </c>
      <c r="D5" s="3">
        <v>-8941.05</v>
      </c>
    </row>
    <row r="6">
      <c r="A6" s="87">
        <v>46105.0</v>
      </c>
      <c r="B6" s="6" t="s">
        <v>225</v>
      </c>
      <c r="C6" s="6" t="s">
        <v>596</v>
      </c>
      <c r="D6" s="3">
        <v>-4000.0</v>
      </c>
    </row>
    <row r="7">
      <c r="A7" s="87">
        <v>46087.0</v>
      </c>
      <c r="B7" s="6" t="s">
        <v>225</v>
      </c>
      <c r="C7" s="6" t="s">
        <v>595</v>
      </c>
      <c r="D7" s="3">
        <v>-9139.0</v>
      </c>
    </row>
    <row r="8">
      <c r="A8" s="87">
        <v>46105.0</v>
      </c>
      <c r="B8" s="6" t="s">
        <v>225</v>
      </c>
      <c r="C8" s="6" t="s">
        <v>595</v>
      </c>
      <c r="D8" s="3">
        <v>-12675.17</v>
      </c>
    </row>
    <row r="9">
      <c r="A9" s="87">
        <v>46112.0</v>
      </c>
      <c r="B9" s="6" t="s">
        <v>225</v>
      </c>
      <c r="C9" s="6" t="s">
        <v>595</v>
      </c>
      <c r="D9" s="3">
        <v>-5000.0</v>
      </c>
    </row>
    <row r="10">
      <c r="A10" s="87">
        <v>46086.0</v>
      </c>
      <c r="B10" s="6" t="s">
        <v>228</v>
      </c>
      <c r="C10" s="6" t="s">
        <v>590</v>
      </c>
      <c r="D10" s="3">
        <v>9139.0</v>
      </c>
    </row>
    <row r="11">
      <c r="A11" s="87">
        <v>46083.0</v>
      </c>
      <c r="B11" s="6" t="s">
        <v>228</v>
      </c>
      <c r="C11" s="6" t="s">
        <v>597</v>
      </c>
      <c r="D11" s="3">
        <v>15000.0</v>
      </c>
    </row>
    <row r="12">
      <c r="A12" s="9">
        <v>46104.0</v>
      </c>
      <c r="B12" s="6" t="s">
        <v>228</v>
      </c>
      <c r="C12" s="6" t="s">
        <v>598</v>
      </c>
      <c r="D12" s="3">
        <v>12675.17</v>
      </c>
    </row>
    <row r="13">
      <c r="A13" s="9">
        <v>46111.0</v>
      </c>
      <c r="B13" s="6" t="s">
        <v>228</v>
      </c>
      <c r="C13" s="6" t="s">
        <v>599</v>
      </c>
      <c r="D13" s="3">
        <v>5000.0</v>
      </c>
    </row>
    <row r="14">
      <c r="A14" s="9">
        <v>46149.0</v>
      </c>
      <c r="B14" s="6" t="s">
        <v>225</v>
      </c>
      <c r="C14" s="6" t="s">
        <v>595</v>
      </c>
      <c r="D14" s="3">
        <v>-4000.0</v>
      </c>
    </row>
    <row r="15">
      <c r="A15" s="9">
        <v>46149.0</v>
      </c>
      <c r="B15" s="6" t="s">
        <v>225</v>
      </c>
      <c r="C15" s="6" t="s">
        <v>594</v>
      </c>
      <c r="D15" s="3">
        <v>-20000.0</v>
      </c>
    </row>
    <row r="16">
      <c r="A16" s="9">
        <v>46155.0</v>
      </c>
      <c r="B16" s="6" t="s">
        <v>228</v>
      </c>
      <c r="C16" s="6" t="s">
        <v>600</v>
      </c>
      <c r="D16" s="3">
        <v>75.0</v>
      </c>
    </row>
    <row r="17">
      <c r="A17" s="9">
        <v>46156.0</v>
      </c>
      <c r="B17" s="6" t="s">
        <v>228</v>
      </c>
      <c r="C17" s="6" t="s">
        <v>594</v>
      </c>
      <c r="D17" s="3">
        <v>20000.0</v>
      </c>
    </row>
    <row r="18">
      <c r="A18" s="9">
        <v>46170.0</v>
      </c>
      <c r="B18" s="6" t="s">
        <v>198</v>
      </c>
      <c r="C18" s="6" t="s">
        <v>601</v>
      </c>
      <c r="D18" s="3">
        <v>290.0</v>
      </c>
    </row>
    <row r="19">
      <c r="A19" s="9">
        <v>46148.0</v>
      </c>
      <c r="B19" s="6" t="s">
        <v>228</v>
      </c>
      <c r="C19" s="6" t="s">
        <v>602</v>
      </c>
      <c r="D19" s="3">
        <v>4000.0</v>
      </c>
    </row>
    <row r="20">
      <c r="D20" s="2"/>
    </row>
    <row r="21">
      <c r="D21" s="2"/>
    </row>
    <row r="22">
      <c r="D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</sheetData>
  <drawing r:id="rId4"/>
  <legacyDrawing r:id="rId5"/>
</worksheet>
</file>